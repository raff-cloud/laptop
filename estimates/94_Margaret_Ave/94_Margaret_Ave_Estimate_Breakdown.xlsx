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 &amp; Margins" sheetId="1" state="visible" r:id="rId3"/>
    <sheet name="Line Items" sheetId="2" state="visible" r:id="rId4"/>
    <sheet name="Division Breakdown" sheetId="3" state="visible" r:id="rId5"/>
    <sheet name="Schedule" sheetId="4" state="visible" r:id="rId6"/>
  </sheets>
  <definedNames>
    <definedName function="false" hidden="true" localSheetId="1" name="_xlnm._FilterDatabase" vbProcedure="false">'Line Items'!$A$1:$K$132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81" authorId="0">
      <text>
        <r>
          <rPr>
            <sz val="10"/>
            <rFont val="Arial"/>
            <family val="2"/>
          </rPr>
          <t xml:space="preserve">PalmView index rate $6.50; adjusted for entry level / basis.</t>
        </r>
      </text>
    </comment>
    <comment ref="H92" authorId="0">
      <text>
        <r>
          <rPr>
            <sz val="10"/>
            <rFont val="Arial"/>
            <family val="2"/>
          </rPr>
          <t xml:space="preserve">PalmView index rate $280.00; adjusted for entry level / basis.</t>
        </r>
      </text>
    </comment>
    <comment ref="H93" authorId="0">
      <text>
        <r>
          <rPr>
            <sz val="10"/>
            <rFont val="Arial"/>
            <family val="2"/>
          </rPr>
          <t xml:space="preserve">PalmView index rate $12.00; adjusted for entry level / basis.</t>
        </r>
      </text>
    </comment>
    <comment ref="H97" authorId="0">
      <text>
        <r>
          <rPr>
            <sz val="10"/>
            <rFont val="Arial"/>
            <family val="2"/>
          </rPr>
          <t xml:space="preserve">PalmView index rate $12.00; adjusted for entry level / basis.</t>
        </r>
      </text>
    </comment>
    <comment ref="H98" authorId="0">
      <text>
        <r>
          <rPr>
            <sz val="10"/>
            <rFont val="Arial"/>
            <family val="2"/>
          </rPr>
          <t xml:space="preserve">PalmView index rate $18.00; adjusted for entry level / basis.</t>
        </r>
      </text>
    </comment>
    <comment ref="H102" authorId="0">
      <text>
        <r>
          <rPr>
            <sz val="10"/>
            <rFont val="Arial"/>
            <family val="2"/>
          </rPr>
          <t xml:space="preserve">PalmView index rate $200.00; adjusted for entry level / basis.</t>
        </r>
      </text>
    </comment>
    <comment ref="H106" authorId="0">
      <text>
        <r>
          <rPr>
            <sz val="10"/>
            <rFont val="Arial"/>
            <family val="2"/>
          </rPr>
          <t xml:space="preserve">PalmView index rate $110.00; adjusted for entry level / basis.</t>
        </r>
      </text>
    </comment>
    <comment ref="H107" authorId="0">
      <text>
        <r>
          <rPr>
            <sz val="10"/>
            <rFont val="Arial"/>
            <family val="2"/>
          </rPr>
          <t xml:space="preserve">PalmView index rate $2,800.00; adjusted for entry level / basis.</t>
        </r>
      </text>
    </comment>
    <comment ref="H108" authorId="0">
      <text>
        <r>
          <rPr>
            <sz val="10"/>
            <rFont val="Arial"/>
            <family val="2"/>
          </rPr>
          <t xml:space="preserve">PalmView index rate $450.00; adjusted for entry level / basis.</t>
        </r>
      </text>
    </comment>
    <comment ref="H109" authorId="0">
      <text>
        <r>
          <rPr>
            <sz val="10"/>
            <rFont val="Arial"/>
            <family val="2"/>
          </rPr>
          <t xml:space="preserve">PalmView index rate $30,000.00; adjusted for entry level / basis.</t>
        </r>
      </text>
    </comment>
    <comment ref="H111" authorId="0">
      <text>
        <r>
          <rPr>
            <sz val="10"/>
            <rFont val="Arial"/>
            <family val="2"/>
          </rPr>
          <t xml:space="preserve">PalmView index rate $25,000.00; adjusted for entry level / basis.</t>
        </r>
      </text>
    </comment>
    <comment ref="H112" authorId="0">
      <text>
        <r>
          <rPr>
            <sz val="10"/>
            <rFont val="Arial"/>
            <family val="2"/>
          </rPr>
          <t xml:space="preserve">PalmView index rate $15,000.00; adjusted for entry level / basis.</t>
        </r>
      </text>
    </comment>
    <comment ref="H113" authorId="0">
      <text>
        <r>
          <rPr>
            <sz val="10"/>
            <rFont val="Arial"/>
            <family val="2"/>
          </rPr>
          <t xml:space="preserve">PalmView index rate $1,800.00; adjusted for entry level / basis.</t>
        </r>
      </text>
    </comment>
    <comment ref="H114" authorId="0">
      <text>
        <r>
          <rPr>
            <sz val="10"/>
            <rFont val="Arial"/>
            <family val="2"/>
          </rPr>
          <t xml:space="preserve">PalmView index rate $3,500.00; adjusted for entry level / basis.</t>
        </r>
      </text>
    </comment>
    <comment ref="H115" authorId="0">
      <text>
        <r>
          <rPr>
            <sz val="10"/>
            <rFont val="Arial"/>
            <family val="2"/>
          </rPr>
          <t xml:space="preserve">PalmView index rate $400.00; adjusted for entry level / basis.</t>
        </r>
      </text>
    </comment>
    <comment ref="H119" authorId="0">
      <text>
        <r>
          <rPr>
            <sz val="10"/>
            <rFont val="Arial"/>
            <family val="2"/>
          </rPr>
          <t xml:space="preserve">PalmView index rate $18.00; adjusted for entry level / basis.</t>
        </r>
      </text>
    </comment>
    <comment ref="H120" authorId="0">
      <text>
        <r>
          <rPr>
            <sz val="10"/>
            <rFont val="Arial"/>
            <family val="2"/>
          </rPr>
          <t xml:space="preserve">PalmView index rate $8.50; adjusted for entry level / basis.</t>
        </r>
      </text>
    </comment>
    <comment ref="H121" authorId="0">
      <text>
        <r>
          <rPr>
            <sz val="10"/>
            <rFont val="Arial"/>
            <family val="2"/>
          </rPr>
          <t xml:space="preserve">PalmView index rate $6.50; adjusted for entry level / basis.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Assumed start after permit issuance. Change this date and all dates update.</t>
        </r>
      </text>
    </comment>
  </commentList>
</comments>
</file>

<file path=xl/sharedStrings.xml><?xml version="1.0" encoding="utf-8"?>
<sst xmlns="http://schemas.openxmlformats.org/spreadsheetml/2006/main" count="1045" uniqueCount="615">
  <si>
    <t xml:space="preserve">94 MARGARET AVE — ESTIMATE OVERVIEW &amp; MARGINS</t>
  </si>
  <si>
    <t xml:space="preserve">PalmView Contracting Inc.  |  New 2-storey single detached, entry level, fixed price to drywall &amp; prime  |  Oct 21, 2026</t>
  </si>
  <si>
    <t xml:space="preserve">INPUTS</t>
  </si>
  <si>
    <t xml:space="preserve">Item</t>
  </si>
  <si>
    <t xml:space="preserve">Value</t>
  </si>
  <si>
    <t xml:space="preserve">Source / note</t>
  </si>
  <si>
    <t xml:space="preserve">HST</t>
  </si>
  <si>
    <t xml:space="preserve">Ontario HST</t>
  </si>
  <si>
    <t xml:space="preserve">Construction contingency (on Fixed hard cost)</t>
  </si>
  <si>
    <t xml:space="preserve">Index default 10%; set to 5% for this job</t>
  </si>
  <si>
    <t xml:space="preserve">PalmView standard markup (for comparison)</t>
  </si>
  <si>
    <t xml:space="preserve">9 OH + 6 Profit + 5 Indirect + 15 Markup</t>
  </si>
  <si>
    <t xml:space="preserve">TARGET GROSS MARGIN (on sell price)</t>
  </si>
  <si>
    <t xml:space="preserve">Raff: 40% margin. Sell = Cost / (1 - margin)</t>
  </si>
  <si>
    <t xml:space="preserve">Equivalent markup on cost</t>
  </si>
  <si>
    <t xml:space="preserve">40% margin = 66.7% markup</t>
  </si>
  <si>
    <t xml:space="preserve">PROJECT &amp; SIZE</t>
  </si>
  <si>
    <t xml:space="preserve">Client</t>
  </si>
  <si>
    <t xml:space="preserve">Rachel Milisic</t>
  </si>
  <si>
    <t xml:space="preserve">Email</t>
  </si>
  <si>
    <t xml:space="preserve">rmilisic@hotmail.com</t>
  </si>
  <si>
    <t xml:space="preserve">Site</t>
  </si>
  <si>
    <t xml:space="preserve">94 Margaret Ave, Stoney Creek (Hamilton), ON</t>
  </si>
  <si>
    <t xml:space="preserve">Drawings</t>
  </si>
  <si>
    <t xml:space="preserve">Bobicon Ltd. SP1, A0.1–A6.0 (Apr 9, 2026); AM Eng. Grading Plan 26047 Rev.3 (Sep 30, 2026)</t>
  </si>
  <si>
    <t xml:space="preserve">Lot</t>
  </si>
  <si>
    <t xml:space="preserve">82'-6" x 150' (approx. 12,375 SF)</t>
  </si>
  <si>
    <t xml:space="preserve">Main floor (SF)</t>
  </si>
  <si>
    <t xml:space="preserve">Second floor (SF)</t>
  </si>
  <si>
    <t xml:space="preserve">Total finished (SF)</t>
  </si>
  <si>
    <t xml:space="preserve">Basement, unfinished (SF)</t>
  </si>
  <si>
    <t xml:space="preserve">Garage (SF)</t>
  </si>
  <si>
    <t xml:space="preserve">Front porch / rear covered patio (SF)</t>
  </si>
  <si>
    <t xml:space="preserve">60 / 204</t>
  </si>
  <si>
    <t xml:space="preserve">PRICE SUMMARY</t>
  </si>
  <si>
    <t xml:space="preserve">Block</t>
  </si>
  <si>
    <t xml:space="preserve">Cost</t>
  </si>
  <si>
    <t xml:space="preserve">Sell Price</t>
  </si>
  <si>
    <t xml:space="preserve">Gross Profit</t>
  </si>
  <si>
    <t xml:space="preserve">Margin %</t>
  </si>
  <si>
    <t xml:space="preserve">Markup %</t>
  </si>
  <si>
    <t xml:space="preserve">1. Owner Direct (at cost, no margin)</t>
  </si>
  <si>
    <t xml:space="preserve">2. Fixed hard cost to drywall &amp; prime</t>
  </si>
  <si>
    <t xml:space="preserve">2a. Construction contingency</t>
  </si>
  <si>
    <t xml:space="preserve">TOTAL TO DRYWALL (before HST)</t>
  </si>
  <si>
    <t xml:space="preserve">3. Finish allowances, entry level (optional)</t>
  </si>
  <si>
    <t xml:space="preserve">4. Completion to occupancy (optional)</t>
  </si>
  <si>
    <t xml:space="preserve">TOTAL TURNKEY, ENTRY LEVEL (before HST)</t>
  </si>
  <si>
    <t xml:space="preserve">WITH HST</t>
  </si>
  <si>
    <t xml:space="preserve">Before HST</t>
  </si>
  <si>
    <t xml:space="preserve">Total incl. HST</t>
  </si>
  <si>
    <t xml:space="preserve">Sell $/SF finished</t>
  </si>
  <si>
    <t xml:space="preserve">Cost $/SF finished</t>
  </si>
  <si>
    <t xml:space="preserve">To drywall</t>
  </si>
  <si>
    <t xml:space="preserve">Turnkey, entry level</t>
  </si>
  <si>
    <t xml:space="preserve">MARGIN vs. MARKUP — TO DRYWALL</t>
  </si>
  <si>
    <t xml:space="preserve">Diff vs 40% margin</t>
  </si>
  <si>
    <t xml:space="preserve">At 40% target margin (this estimate)</t>
  </si>
  <si>
    <t xml:space="preserve">At PalmView standard 35% markup</t>
  </si>
  <si>
    <t xml:space="preserve">Margin % and markup % here are measured on the full to-drywall total, including Owner Direct pass-through, so they read slightly lower than the block-level 40%.</t>
  </si>
  <si>
    <t xml:space="preserve">SCOPE BASIS</t>
  </si>
  <si>
    <t xml:space="preserve">• Fixed price through drywall (Level 4) and one prime coat, main and 2nd floor + garage.</t>
  </si>
  <si>
    <t xml:space="preserve">• Entry-level specs: vinyl double-pane low-E windows, insulated steel doors, asphalt shingles, torch-on flat roofs.</t>
  </si>
  <si>
    <t xml:space="preserve">• Cladding as drawn: brick/stone veneer main floor, stucco with R5 rigid on 2nd floor.</t>
  </si>
  <si>
    <t xml:space="preserve">• Basement left UNFINISHED: slab, code insulation blanket, basic lighting, 3-pc rough-in drains only.</t>
  </si>
  <si>
    <t xml:space="preserve">• Furnace, central A/C, HRV and 200 A service included. Water heater assumed rental.</t>
  </si>
  <si>
    <t xml:space="preserve">• Finish allowances and completion are optional, priced at entry level, for a turnkey number.</t>
  </si>
  <si>
    <t xml:space="preserve">CONFIRM BEFORE ISSUE</t>
  </si>
  <si>
    <t xml:space="preserve">• Development charges ($45k carried): Hamilton demolition credit may reduce this to near zero.</t>
  </si>
  <si>
    <t xml:space="preserve">• Framing lumber: get a live quote (index range $15–$32/SF materials).</t>
  </si>
  <si>
    <t xml:space="preserve">• Foundation walls: drawings show 10"/12"; priced at the 8" all-in rate.</t>
  </si>
  <si>
    <t xml:space="preserve">• Abatement ($8k) is provisional until the designated substance survey is done.</t>
  </si>
  <si>
    <t xml:space="preserve">• City permit package ($15k): remove if designer has already submitted.</t>
  </si>
  <si>
    <t xml:space="preserve">• Window count: 14 units per schedule; plan callouts suggest possibly a few more.</t>
  </si>
  <si>
    <t xml:space="preserve">• Electrical rough-in carried at $18k; per-SF check suggests about $25k.</t>
  </si>
  <si>
    <t xml:space="preserve">• Index rates for masonry ($45/SF), PM ($12k/month), framing ($38/SF) and stucco ($28/SF) drive the total.</t>
  </si>
  <si>
    <t xml:space="preserve">Legend: yellow/blue cells are inputs you can change; all totals recalculate.</t>
  </si>
  <si>
    <t xml:space="preserve">Division</t>
  </si>
  <si>
    <t xml:space="preserve">Cost Code</t>
  </si>
  <si>
    <t xml:space="preserve">Cost Item</t>
  </si>
  <si>
    <t xml:space="preserve">Description</t>
  </si>
  <si>
    <t xml:space="preserve">Qty</t>
  </si>
  <si>
    <t xml:space="preserve">Unit</t>
  </si>
  <si>
    <t xml:space="preserve">Unit Cost</t>
  </si>
  <si>
    <t xml:space="preserve">Note</t>
  </si>
  <si>
    <t xml:space="preserve">Owner Direct</t>
  </si>
  <si>
    <t xml:space="preserve">OD Building Permit Fees</t>
  </si>
  <si>
    <t xml:space="preserve">1.016</t>
  </si>
  <si>
    <t xml:space="preserve">Building Permit Fees</t>
  </si>
  <si>
    <t xml:space="preserve">Building permit fees, City of Hamilton (new SFD + grading review). Pass-through at cost.</t>
  </si>
  <si>
    <t xml:space="preserve">Lump Sum</t>
  </si>
  <si>
    <t xml:space="preserve">OD Development Charges</t>
  </si>
  <si>
    <t xml:space="preserve">1.034</t>
  </si>
  <si>
    <t xml:space="preserve">Development Charges</t>
  </si>
  <si>
    <t xml:space="preserve">Development charges, City of Hamilton. Knock-down-rebuild default; demolition credit to be confirmed.</t>
  </si>
  <si>
    <t xml:space="preserve">Confirm Hamilton demo credit</t>
  </si>
  <si>
    <t xml:space="preserve">OD Utility Connection Fees</t>
  </si>
  <si>
    <t xml:space="preserve">1.035</t>
  </si>
  <si>
    <t xml:space="preserve">Utility Connection Fees</t>
  </si>
  <si>
    <t xml:space="preserve">Utility connection fees bundle: water/sewer permits, gas and hydro service fees. Pass-through at cost.</t>
  </si>
  <si>
    <t xml:space="preserve">Fixed to Drywall</t>
  </si>
  <si>
    <t xml:space="preserve">01 Soft Costs, Permits &amp; Engineering</t>
  </si>
  <si>
    <t xml:space="preserve">1.002</t>
  </si>
  <si>
    <t xml:space="preserve">City Permit Package</t>
  </si>
  <si>
    <t xml:space="preserve">City permit package: zoning review, application forms and submission to City of Hamilton.</t>
  </si>
  <si>
    <t xml:space="preserve">1.007</t>
  </si>
  <si>
    <t xml:space="preserve">Engineering (Structural, Mechanical &amp; Heat Loss)</t>
  </si>
  <si>
    <t xml:space="preserve">Engineering: structural (steel beams, lintels), HVAC design and heat loss / SB-12 EEDS.</t>
  </si>
  <si>
    <t xml:space="preserve">1.020</t>
  </si>
  <si>
    <t xml:space="preserve">Site Field Reviews by Engineer</t>
  </si>
  <si>
    <t xml:space="preserve">AM Engineering site reviews: servicing inspection and lot grading.</t>
  </si>
  <si>
    <t xml:space="preserve">Each</t>
  </si>
  <si>
    <t xml:space="preserve">1.021</t>
  </si>
  <si>
    <t xml:space="preserve">Tarion Warranty Enrollment</t>
  </si>
  <si>
    <t xml:space="preserve">Tarion new home warranty enrolment.</t>
  </si>
  <si>
    <t xml:space="preserve">1.029</t>
  </si>
  <si>
    <t xml:space="preserve">Permit Coordination Fee</t>
  </si>
  <si>
    <t xml:space="preserve">Permit coordination with City, designer (Bobicon) and AM Engineering through issuance.</t>
  </si>
  <si>
    <t xml:space="preserve">1.030</t>
  </si>
  <si>
    <t xml:space="preserve">Surveyor Stakeout, Footing Pins &amp; Wall Pins</t>
  </si>
  <si>
    <t xml:space="preserve">Surveyor stakeout, footing pins and wall pins.</t>
  </si>
  <si>
    <t xml:space="preserve">1.031</t>
  </si>
  <si>
    <t xml:space="preserve">As-Built Survey / Survey Revisions</t>
  </si>
  <si>
    <t xml:space="preserve">As-built / foundation location survey.</t>
  </si>
  <si>
    <t xml:space="preserve">1.067</t>
  </si>
  <si>
    <t xml:space="preserve">Hazardous Substance Report</t>
  </si>
  <si>
    <t xml:space="preserve">Designated substance survey of existing house before demolition (O. Reg. 278/05).</t>
  </si>
  <si>
    <t xml:space="preserve">1.070</t>
  </si>
  <si>
    <t xml:space="preserve">Truss Layout Drawings</t>
  </si>
  <si>
    <t xml:space="preserve">Truss layout drawings for hip roof and girder trusses.</t>
  </si>
  <si>
    <t xml:space="preserve">02 General Conditions &amp; Site Services</t>
  </si>
  <si>
    <t xml:space="preserve">1.036</t>
  </si>
  <si>
    <t xml:space="preserve">Tree Protection</t>
  </si>
  <si>
    <t xml:space="preserve">Tree protection hoarding at City boulevard tree per City of Hamilton requirements.</t>
  </si>
  <si>
    <t xml:space="preserve">1.040</t>
  </si>
  <si>
    <t xml:space="preserve">Site Supervision &amp; Project Management (Blended Monthly)</t>
  </si>
  <si>
    <t xml:space="preserve">Site supervision and project management, 6 months demo through drywall.</t>
  </si>
  <si>
    <t xml:space="preserve">Months</t>
  </si>
  <si>
    <t xml:space="preserve">1.042</t>
  </si>
  <si>
    <t xml:space="preserve">Temporary Hoarding &amp; Safety Fences</t>
  </si>
  <si>
    <t xml:space="preserve">Temporary construction fence, front and sides.</t>
  </si>
  <si>
    <t xml:space="preserve">Linear Feet</t>
  </si>
  <si>
    <t xml:space="preserve">1.043</t>
  </si>
  <si>
    <t xml:space="preserve">Temporary Toilet</t>
  </si>
  <si>
    <t xml:space="preserve">Temporary toilet, 6 months.</t>
  </si>
  <si>
    <t xml:space="preserve">1.044</t>
  </si>
  <si>
    <t xml:space="preserve">Temporary Hydro</t>
  </si>
  <si>
    <t xml:space="preserve">Temporary hydro service.</t>
  </si>
  <si>
    <t xml:space="preserve">1.045</t>
  </si>
  <si>
    <t xml:space="preserve">Temporary Water</t>
  </si>
  <si>
    <t xml:space="preserve">Temporary water.</t>
  </si>
  <si>
    <t xml:space="preserve">1.046</t>
  </si>
  <si>
    <t xml:space="preserve">Temporary Heating (Winter)</t>
  </si>
  <si>
    <t xml:space="preserve">Temporary heat, winter months (if schedule falls in winter).</t>
  </si>
  <si>
    <t xml:space="preserve">1.047</t>
  </si>
  <si>
    <t xml:space="preserve">Crane Service (incl. Operator &amp; Rigging)</t>
  </si>
  <si>
    <t xml:space="preserve">Crane with operator to set roof trusses, 1 day.</t>
  </si>
  <si>
    <t xml:space="preserve">Days</t>
  </si>
  <si>
    <t xml:space="preserve">1.050</t>
  </si>
  <si>
    <t xml:space="preserve">Scaffold Rental</t>
  </si>
  <si>
    <t xml:space="preserve">Scaffold rental for masonry and stucco, 4 months.</t>
  </si>
  <si>
    <t xml:space="preserve">1.051</t>
  </si>
  <si>
    <t xml:space="preserve">Waste Disposal / Garbage Bins</t>
  </si>
  <si>
    <t xml:space="preserve">Waste bins and disposal, 6 months.</t>
  </si>
  <si>
    <t xml:space="preserve">1.052</t>
  </si>
  <si>
    <t xml:space="preserve">Miscellaneous Supplies &amp; Materials</t>
  </si>
  <si>
    <t xml:space="preserve">Miscellaneous supplies and materials.</t>
  </si>
  <si>
    <t xml:space="preserve">1.053</t>
  </si>
  <si>
    <t xml:space="preserve">Safety Supplies</t>
  </si>
  <si>
    <t xml:space="preserve">Safety supplies, fall protection, first aid.</t>
  </si>
  <si>
    <t xml:space="preserve">1.054</t>
  </si>
  <si>
    <t xml:space="preserve">Site Signage</t>
  </si>
  <si>
    <t xml:space="preserve">Site signage.</t>
  </si>
  <si>
    <t xml:space="preserve">1.056</t>
  </si>
  <si>
    <t xml:space="preserve">Sidewalk / Road Protection</t>
  </si>
  <si>
    <t xml:space="preserve">Sidewalk and road protection; existing driveway kept for access during construction.</t>
  </si>
  <si>
    <t xml:space="preserve">1.063</t>
  </si>
  <si>
    <t xml:space="preserve">Insurance</t>
  </si>
  <si>
    <t xml:space="preserve">Builder's risk insurance.</t>
  </si>
  <si>
    <t xml:space="preserve">1.069</t>
  </si>
  <si>
    <t xml:space="preserve">Line Protection / Utility Locates</t>
  </si>
  <si>
    <t xml:space="preserve">Utility locates.</t>
  </si>
  <si>
    <t xml:space="preserve">03 Abatement, Demolition &amp; Site Clearing</t>
  </si>
  <si>
    <t xml:space="preserve">1.068</t>
  </si>
  <si>
    <t xml:space="preserve">Environmental Abatement</t>
  </si>
  <si>
    <t xml:space="preserve">Provisional environmental abatement allowance for existing house (asbestos/vermiculite).</t>
  </si>
  <si>
    <t xml:space="preserve">Provisional until DSS complete</t>
  </si>
  <si>
    <t xml:space="preserve">2.001</t>
  </si>
  <si>
    <t xml:space="preserve">House Demolition</t>
  </si>
  <si>
    <t xml:space="preserve">Demolish existing 1-storey dwelling incl. basement, foundations and rear shed; dispose.</t>
  </si>
  <si>
    <t xml:space="preserve">Square Foot</t>
  </si>
  <si>
    <t xml:space="preserve">2.003</t>
  </si>
  <si>
    <t xml:space="preserve">Site Clearing</t>
  </si>
  <si>
    <t xml:space="preserve">Site clearing of shrubs, vegetation and stumps within the building and work area.</t>
  </si>
  <si>
    <t xml:space="preserve">04 Excavation, Backfill &amp; Grading</t>
  </si>
  <si>
    <t xml:space="preserve">2.019</t>
  </si>
  <si>
    <t xml:space="preserve">Excavation &amp; Ground works</t>
  </si>
  <si>
    <t xml:space="preserve">Excavate basement (1,460 SF, BFE 98.55) plus overdig and frost wall trenches; incl. haul-away of excess per index scope.</t>
  </si>
  <si>
    <t xml:space="preserve">Cubic Yard</t>
  </si>
  <si>
    <t xml:space="preserve">2.070</t>
  </si>
  <si>
    <t xml:space="preserve">Backfill</t>
  </si>
  <si>
    <t xml:space="preserve">Backfill foundation walls and frost walls.</t>
  </si>
  <si>
    <t xml:space="preserve">2.071</t>
  </si>
  <si>
    <t xml:space="preserve">Service Trenching</t>
  </si>
  <si>
    <t xml:space="preserve">Service trenching for new water and sewer laterals to 1.0 m from building face.</t>
  </si>
  <si>
    <t xml:space="preserve">2.073</t>
  </si>
  <si>
    <t xml:space="preserve">Rough Grading</t>
  </si>
  <si>
    <t xml:space="preserve">Rough grading around building per AM Engineering grading plan.</t>
  </si>
  <si>
    <t xml:space="preserve">05 Footings, Foundation &amp; Waterproofing</t>
  </si>
  <si>
    <t xml:space="preserve">2.046</t>
  </si>
  <si>
    <t xml:space="preserve">Footings (Forming, Rebar &amp; Concrete)</t>
  </si>
  <si>
    <t xml:space="preserve">Strip footings at basement, garage and patio frost walls plus pad footings, all-in.</t>
  </si>
  <si>
    <t xml:space="preserve">2.051</t>
  </si>
  <si>
    <t xml:space="preserve">Waterproofing</t>
  </si>
  <si>
    <t xml:space="preserve">Bituminous dampproofing and drainage mat on basement walls below grade.</t>
  </si>
  <si>
    <t xml:space="preserve">2.053</t>
  </si>
  <si>
    <t xml:space="preserve">Weeping Tile</t>
  </si>
  <si>
    <t xml:space="preserve">Weeping tile at basement footing perimeter to sump.</t>
  </si>
  <si>
    <t xml:space="preserve">2.058</t>
  </si>
  <si>
    <t xml:space="preserve">Perimeter Drainage 3/4" Crush</t>
  </si>
  <si>
    <t xml:space="preserve">3/4" clear stone cover over weeping tile.</t>
  </si>
  <si>
    <t xml:space="preserve">Ton</t>
  </si>
  <si>
    <t xml:space="preserve">2.080</t>
  </si>
  <si>
    <t xml:space="preserve">Foundation Walls - Poured In Place (8" formed, 3-bar)</t>
  </si>
  <si>
    <t xml:space="preserve">Basement foundation walls incl. cold room, approx. 8'-10" high, all-in. Drawings show 10"/12" walls; confirm thickness.</t>
  </si>
  <si>
    <t xml:space="preserve">Garage and rear patio frost walls (unexcavated areas), all-in.</t>
  </si>
  <si>
    <t xml:space="preserve">3.105</t>
  </si>
  <si>
    <t xml:space="preserve">Concrete Pump (hardscape)</t>
  </si>
  <si>
    <t xml:space="preserve">Concrete pumping, all foundation and slab pours (approx. 100 CY).</t>
  </si>
  <si>
    <t xml:space="preserve">06 Concrete Slabs</t>
  </si>
  <si>
    <t xml:space="preserve">2.054</t>
  </si>
  <si>
    <t xml:space="preserve">Basement Slab</t>
  </si>
  <si>
    <t xml:space="preserve">Basement slab: 3" 25 MPa on 6" granular, R10 perimeter insulation per slab detail.</t>
  </si>
  <si>
    <t xml:space="preserve">Garage slab on compacted granular.</t>
  </si>
  <si>
    <t xml:space="preserve">2.056</t>
  </si>
  <si>
    <t xml:space="preserve">Porch Slabs</t>
  </si>
  <si>
    <t xml:space="preserve">Front porch (60 SF) and raised rear covered patio (204 SF) slabs.</t>
  </si>
  <si>
    <t xml:space="preserve">07 Framing &amp; Structural Steel</t>
  </si>
  <si>
    <t xml:space="preserve">3.002</t>
  </si>
  <si>
    <t xml:space="preserve">Framing Materials</t>
  </si>
  <si>
    <t xml:space="preserve">Framing materials: house 2,930 SF + garage 548 SF, incl. floors, walls, roof trusses, flat roofs, sheathing. LIVE LUMBER QUOTE REQUIRED.</t>
  </si>
  <si>
    <t xml:space="preserve">Lumber volatile - get live quote</t>
  </si>
  <si>
    <t xml:space="preserve">3.006</t>
  </si>
  <si>
    <t xml:space="preserve">Framing Labour</t>
  </si>
  <si>
    <t xml:space="preserve">Framing labour, same area.</t>
  </si>
  <si>
    <t xml:space="preserve">3.009</t>
  </si>
  <si>
    <t xml:space="preserve">Steel Beams</t>
  </si>
  <si>
    <t xml:space="preserve">Steel beams: W10x22 x2 (basement), W8x28, W8x31/W10x22, W8x18 x2, W10x26 (garage).</t>
  </si>
  <si>
    <t xml:space="preserve">3.010</t>
  </si>
  <si>
    <t xml:space="preserve">Steel Posts</t>
  </si>
  <si>
    <t xml:space="preserve">Steel posts / columns with base plates.</t>
  </si>
  <si>
    <t xml:space="preserve">3.133</t>
  </si>
  <si>
    <t xml:space="preserve">Back Framing - Whole-House Basis (budget stage)</t>
  </si>
  <si>
    <t xml:space="preserve">Back framing, whole-house budget basis (blocking, bulkheads, stair framing).</t>
  </si>
  <si>
    <t xml:space="preserve">08 Roofing, Soffit, Fascia &amp; Eaves</t>
  </si>
  <si>
    <t xml:space="preserve">3.014</t>
  </si>
  <si>
    <t xml:space="preserve">Roofing material &amp; labour (Shingle)</t>
  </si>
  <si>
    <t xml:space="preserve">Asphalt shingle hip roof incl. underlayment, ice &amp; water, flashings and roof vents (5/12, approx. 1,850 SF).</t>
  </si>
  <si>
    <t xml:space="preserve">3.015</t>
  </si>
  <si>
    <t xml:space="preserve">Torch on install and supply (Flat Roof)</t>
  </si>
  <si>
    <t xml:space="preserve">Torch-on flat roof membrane over garage, front porch, rear patio and front roof sections, sloped 2% to scuppers.</t>
  </si>
  <si>
    <t xml:space="preserve">3.032</t>
  </si>
  <si>
    <t xml:space="preserve">Flashing and aluminum capping</t>
  </si>
  <si>
    <t xml:space="preserve">Aluminum parapet capping and flashing at flat roofs.</t>
  </si>
  <si>
    <t xml:space="preserve">3.069</t>
  </si>
  <si>
    <t xml:space="preserve">Soffits</t>
  </si>
  <si>
    <t xml:space="preserve">Prefinished aluminum soffit.</t>
  </si>
  <si>
    <t xml:space="preserve">3.070</t>
  </si>
  <si>
    <t xml:space="preserve">Fascia</t>
  </si>
  <si>
    <t xml:space="preserve">Prefinished aluminum fascia.</t>
  </si>
  <si>
    <t xml:space="preserve">3.071</t>
  </si>
  <si>
    <t xml:space="preserve">Eavestroughs &amp; Downspouts</t>
  </si>
  <si>
    <t xml:space="preserve">Eavestrough and downspouts.</t>
  </si>
  <si>
    <t xml:space="preserve">09 Windows &amp; Exterior Doors</t>
  </si>
  <si>
    <t xml:space="preserve">3.019</t>
  </si>
  <si>
    <t xml:space="preserve">Windows (Basic vinyl)</t>
  </si>
  <si>
    <t xml:space="preserve">Vinyl double-pane low-E windows W1-W8 (14 units, approx. 430 SF), supply and install.</t>
  </si>
  <si>
    <t xml:space="preserve">D3 vinyl patio sliding door 8'-0" x 9'-0" with transom, supply and install.</t>
  </si>
  <si>
    <t xml:space="preserve">3.027</t>
  </si>
  <si>
    <t xml:space="preserve">Exterior Doors (Basic Steel)</t>
  </si>
  <si>
    <t xml:space="preserve">Insulated steel exterior doors: D1 entry (with 2 sidelights), D2 garage man door, garage-to-house door (self-closing, gas-proofed).</t>
  </si>
  <si>
    <t xml:space="preserve">3.028</t>
  </si>
  <si>
    <t xml:space="preserve">Exterior Door Installation</t>
  </si>
  <si>
    <t xml:space="preserve">Exterior door installation.</t>
  </si>
  <si>
    <t xml:space="preserve">3.029</t>
  </si>
  <si>
    <t xml:space="preserve">Exterior Door Hardware</t>
  </si>
  <si>
    <t xml:space="preserve">Exterior door hardware (basic lever / entry handleset, deadbolt).</t>
  </si>
  <si>
    <t xml:space="preserve">3.030</t>
  </si>
  <si>
    <t xml:space="preserve">Garage Doors (standard size)</t>
  </si>
  <si>
    <t xml:space="preserve">D4 16'-0" x 8'-0" insulated steel garage door (opener not included).</t>
  </si>
  <si>
    <t xml:space="preserve">10 Exterior Cladding (Brick, Stone, Stucco)</t>
  </si>
  <si>
    <t xml:space="preserve">3.061</t>
  </si>
  <si>
    <t xml:space="preserve">House Wrap</t>
  </si>
  <si>
    <t xml:space="preserve">Sheathing membrane (Tyvek) behind brick/stone veneer.</t>
  </si>
  <si>
    <t xml:space="preserve">3.072</t>
  </si>
  <si>
    <t xml:space="preserve">Exterior Caulking</t>
  </si>
  <si>
    <t xml:space="preserve">Exterior caulking at windows, doors and penetrations.</t>
  </si>
  <si>
    <t xml:space="preserve">3.073</t>
  </si>
  <si>
    <t xml:space="preserve">Exterior Masonry material</t>
  </si>
  <si>
    <t xml:space="preserve">Brick and stone veneer, main floor and 4 stone columns, incl. ties, precast sills, brick ledge (supply and install).</t>
  </si>
  <si>
    <t xml:space="preserve">3.078</t>
  </si>
  <si>
    <t xml:space="preserve">Stucco</t>
  </si>
  <si>
    <t xml:space="preserve">Stucco veneer w/ R5 rigid, 2nd floor and parapets (supply and install).</t>
  </si>
  <si>
    <t xml:space="preserve">11 Plumbing</t>
  </si>
  <si>
    <t xml:space="preserve">3.001</t>
  </si>
  <si>
    <t xml:space="preserve">Plumbing - Underground</t>
  </si>
  <si>
    <t xml:space="preserve">Underground plumbing: basement drains, sump, floor drain, 3-pc rough-in drains, radon rough-in, laterals.</t>
  </si>
  <si>
    <t xml:space="preserve">3.037</t>
  </si>
  <si>
    <t xml:space="preserve">Plumbing - Finish &amp; Fixture Set</t>
  </si>
  <si>
    <t xml:space="preserve">Plumbing finish and fixture set (fixtures by allowance).</t>
  </si>
  <si>
    <t xml:space="preserve">3.047</t>
  </si>
  <si>
    <t xml:space="preserve">Rough-In Plumbing</t>
  </si>
  <si>
    <t xml:space="preserve">Plumbing rough-in: powder room, main bath, ensuite, kitchen, laundry, 2 hose bibs; basement 3-pc rough-in only.</t>
  </si>
  <si>
    <t xml:space="preserve">12 HVAC &amp; Gas</t>
  </si>
  <si>
    <t xml:space="preserve">3.033</t>
  </si>
  <si>
    <t xml:space="preserve">HVAC - Finish, Equipment Set &amp; Startup</t>
  </si>
  <si>
    <t xml:space="preserve">HVAC finish, equipment set and startup.</t>
  </si>
  <si>
    <t xml:space="preserve">3.035</t>
  </si>
  <si>
    <t xml:space="preserve">Gas - Finish &amp; Appliance Connections</t>
  </si>
  <si>
    <t xml:space="preserve">Gas finish and appliance connections.</t>
  </si>
  <si>
    <t xml:space="preserve">3.048</t>
  </si>
  <si>
    <t xml:space="preserve">Rough-In Gas &amp; Venting</t>
  </si>
  <si>
    <t xml:space="preserve">Gas rough-in and venting: furnace, water heater, range.</t>
  </si>
  <si>
    <t xml:space="preserve">3.049</t>
  </si>
  <si>
    <t xml:space="preserve">Rough-In HVAC</t>
  </si>
  <si>
    <t xml:space="preserve">HVAC: high-efficiency gas furnace, central A/C, HRV, ductwork and controls.</t>
  </si>
  <si>
    <t xml:space="preserve">13 Electrical &amp; Low Voltage</t>
  </si>
  <si>
    <t xml:space="preserve">3.040</t>
  </si>
  <si>
    <t xml:space="preserve">Electrical - Finish, Devices &amp; Fixture Hookup</t>
  </si>
  <si>
    <t xml:space="preserve">Electrical finish, devices and fixture hookup (fixtures by allowance).</t>
  </si>
  <si>
    <t xml:space="preserve">3.042</t>
  </si>
  <si>
    <t xml:space="preserve">Low voltage rough wire</t>
  </si>
  <si>
    <t xml:space="preserve">Low-voltage rough wire: data/coax to main locations.</t>
  </si>
  <si>
    <t xml:space="preserve">3.046</t>
  </si>
  <si>
    <t xml:space="preserve">Electrical - Underground</t>
  </si>
  <si>
    <t xml:space="preserve">Electrical underground service trench from street.</t>
  </si>
  <si>
    <t xml:space="preserve">3.050</t>
  </si>
  <si>
    <t xml:space="preserve">Electrical Service (200 Amp if required)</t>
  </si>
  <si>
    <t xml:space="preserve">New 200 A electrical service and panel.</t>
  </si>
  <si>
    <t xml:space="preserve">3.051</t>
  </si>
  <si>
    <t xml:space="preserve">Electrical Rough-In</t>
  </si>
  <si>
    <t xml:space="preserve">Electrical rough-in: devices, pot lights, smoke/CO, appliance circuits; basic code lighting/outlets in basement.</t>
  </si>
  <si>
    <t xml:space="preserve">14 Insulation &amp; Air Sealing</t>
  </si>
  <si>
    <t xml:space="preserve">3.053</t>
  </si>
  <si>
    <t xml:space="preserve">Spray-foam</t>
  </si>
  <si>
    <t xml:space="preserve">Closed-cell spray foam at flat roof over office/entry and rim joists.</t>
  </si>
  <si>
    <t xml:space="preserve">3.054</t>
  </si>
  <si>
    <t xml:space="preserve">Batt Insulation</t>
  </si>
  <si>
    <t xml:space="preserve">R22 batt + 6 mil poly at above-grade walls (3,060 SF) and full-height basement wall blanket (1,450 SF).</t>
  </si>
  <si>
    <t xml:space="preserve">Entry-level override (index $6.50)</t>
  </si>
  <si>
    <t xml:space="preserve">3.056</t>
  </si>
  <si>
    <t xml:space="preserve">Air Testing (prior to drywall)</t>
  </si>
  <si>
    <t xml:space="preserve">Mid-construction air test before drywall (SB-12 performance path).</t>
  </si>
  <si>
    <t xml:space="preserve">3.125</t>
  </si>
  <si>
    <t xml:space="preserve">Insulation (Blown-in)</t>
  </si>
  <si>
    <t xml:space="preserve">Blown-in attic insulation to SB-12 value.</t>
  </si>
  <si>
    <t xml:space="preserve">15 Drywall &amp; Prime Coat</t>
  </si>
  <si>
    <t xml:space="preserve">4.001</t>
  </si>
  <si>
    <t xml:space="preserve">Drywall (1/2")</t>
  </si>
  <si>
    <t xml:space="preserve">Drywall, Level 4 finish: main and 2nd floor + garage (rate on floor area). Basement NOT drywalled.</t>
  </si>
  <si>
    <t xml:space="preserve">4.002</t>
  </si>
  <si>
    <t xml:space="preserve">Interior Painting - Prime Coat</t>
  </si>
  <si>
    <t xml:space="preserve">Interior prime coat, main and 2nd floor.</t>
  </si>
  <si>
    <t xml:space="preserve">16 Closeout (at Drywall)</t>
  </si>
  <si>
    <t xml:space="preserve">5.001</t>
  </si>
  <si>
    <t xml:space="preserve">Consumables (Miscellaneous construction materials)</t>
  </si>
  <si>
    <t xml:space="preserve">Consumables.</t>
  </si>
  <si>
    <t xml:space="preserve">5.013</t>
  </si>
  <si>
    <t xml:space="preserve">Final Site Cleanup</t>
  </si>
  <si>
    <t xml:space="preserve">Site cleanup at drywall turnover.</t>
  </si>
  <si>
    <t xml:space="preserve">5.020</t>
  </si>
  <si>
    <t xml:space="preserve">Demobilization</t>
  </si>
  <si>
    <t xml:space="preserve">Demobilization.</t>
  </si>
  <si>
    <t xml:space="preserve">5.021</t>
  </si>
  <si>
    <t xml:space="preserve">Sign Removal</t>
  </si>
  <si>
    <t xml:space="preserve">Sign removal.</t>
  </si>
  <si>
    <t xml:space="preserve">Finish Allowance (Optional)</t>
  </si>
  <si>
    <t xml:space="preserve">F1 Interior Paint (Finish Coats)</t>
  </si>
  <si>
    <t xml:space="preserve">4.070</t>
  </si>
  <si>
    <t xml:space="preserve">Interior Painting - Finish Coats</t>
  </si>
  <si>
    <t xml:space="preserve">Interior finish paint, 2 coats, builder white, main and 2nd floor.</t>
  </si>
  <si>
    <t xml:space="preserve">F2 Interior Doors, Trim &amp; Hardware</t>
  </si>
  <si>
    <t xml:space="preserve">4.004</t>
  </si>
  <si>
    <t xml:space="preserve">Interior Doors</t>
  </si>
  <si>
    <t xml:space="preserve">Interior doors, hollow-core moulded slab, pre-hung, installed.</t>
  </si>
  <si>
    <t xml:space="preserve">4.006</t>
  </si>
  <si>
    <t xml:space="preserve">Interior Door Hardware</t>
  </si>
  <si>
    <t xml:space="preserve">Interior door hardware, entry-level levers.</t>
  </si>
  <si>
    <t xml:space="preserve">Entry-level override (index $280.00)</t>
  </si>
  <si>
    <t xml:space="preserve">4.008</t>
  </si>
  <si>
    <t xml:space="preserve">Molding Materials</t>
  </si>
  <si>
    <t xml:space="preserve">MDF baseboard and casing, paint grade.</t>
  </si>
  <si>
    <t xml:space="preserve">Entry-level override (index $12.00)</t>
  </si>
  <si>
    <t xml:space="preserve">4.010</t>
  </si>
  <si>
    <t xml:space="preserve">Finish Carpentry (Trim Moldings and doors labour)</t>
  </si>
  <si>
    <t xml:space="preserve">Finish carpentry labour, trim install.</t>
  </si>
  <si>
    <t xml:space="preserve">Hours</t>
  </si>
  <si>
    <t xml:space="preserve">F3 Flooring &amp; Tile</t>
  </si>
  <si>
    <t xml:space="preserve">4.013</t>
  </si>
  <si>
    <t xml:space="preserve">Tile Setting Materials (thinset, membrane, backer)</t>
  </si>
  <si>
    <t xml:space="preserve">Tile setting materials, floors.</t>
  </si>
  <si>
    <t xml:space="preserve">4.014</t>
  </si>
  <si>
    <t xml:space="preserve">Tile Installation Labour (general floor &amp; wall)</t>
  </si>
  <si>
    <t xml:space="preserve">Tile install labour, floors.</t>
  </si>
  <si>
    <t xml:space="preserve">4.052</t>
  </si>
  <si>
    <t xml:space="preserve">Flooring Allowance (if applicable)</t>
  </si>
  <si>
    <t xml:space="preserve">Flooring allowance: vinyl plank / laminate, main and 2nd floor, supply and install.</t>
  </si>
  <si>
    <t xml:space="preserve">4.053</t>
  </si>
  <si>
    <t xml:space="preserve">Tile Allowance (if applicable)</t>
  </si>
  <si>
    <t xml:space="preserve">Tile supply allowance: bath/laundry/entry floors, shower and tub walls, backsplash.</t>
  </si>
  <si>
    <t xml:space="preserve">Entry-level override (index $18.00)</t>
  </si>
  <si>
    <t xml:space="preserve">4.060</t>
  </si>
  <si>
    <t xml:space="preserve">Tile Shower Floor - Install (labour + setting materials)</t>
  </si>
  <si>
    <t xml:space="preserve">Tile install, ensuite shower floor.</t>
  </si>
  <si>
    <t xml:space="preserve">4.061</t>
  </si>
  <si>
    <t xml:space="preserve">Tile Shower Wall - Install (labour + setting materials)</t>
  </si>
  <si>
    <t xml:space="preserve">Tile install, shower and tub walls (labour + setting materials).</t>
  </si>
  <si>
    <t xml:space="preserve">4.062</t>
  </si>
  <si>
    <t xml:space="preserve">Tile Backsplash - Install (labour + setting materials)</t>
  </si>
  <si>
    <t xml:space="preserve">Tile install, kitchen backsplash.</t>
  </si>
  <si>
    <t xml:space="preserve">F4 Stairs &amp; Railings</t>
  </si>
  <si>
    <t xml:space="preserve">4.029</t>
  </si>
  <si>
    <t xml:space="preserve">Interior Railing</t>
  </si>
  <si>
    <t xml:space="preserve">Interior railing, stair and 2nd floor landing, entry-level oak/picket.</t>
  </si>
  <si>
    <t xml:space="preserve">Entry-level override (index $200.00)</t>
  </si>
  <si>
    <t xml:space="preserve">4.030</t>
  </si>
  <si>
    <t xml:space="preserve">Custom Stairs</t>
  </si>
  <si>
    <t xml:space="preserve">Main-to-2nd floor stair finish (basement stair left as framed).</t>
  </si>
  <si>
    <t xml:space="preserve">F5 Cabinets &amp; Countertops</t>
  </si>
  <si>
    <t xml:space="preserve">4.032</t>
  </si>
  <si>
    <t xml:space="preserve">Cabinets - Pre-manufactured</t>
  </si>
  <si>
    <t xml:space="preserve">Pre-manufactured cabinets: kitchen, island, pantry, laundry.</t>
  </si>
  <si>
    <t xml:space="preserve">4.034</t>
  </si>
  <si>
    <t xml:space="preserve">Cabinet install</t>
  </si>
  <si>
    <t xml:space="preserve">Cabinet install.</t>
  </si>
  <si>
    <t xml:space="preserve">4.035</t>
  </si>
  <si>
    <t xml:space="preserve">Countertops</t>
  </si>
  <si>
    <t xml:space="preserve">Countertops, entry-level quartz/laminate, kitchen and island.</t>
  </si>
  <si>
    <t xml:space="preserve">Entry-level override (index $110.00)</t>
  </si>
  <si>
    <t xml:space="preserve">4.054</t>
  </si>
  <si>
    <t xml:space="preserve">Cabinet Hardware Allowance (if applicable)</t>
  </si>
  <si>
    <t xml:space="preserve">Cabinet hardware allowance.</t>
  </si>
  <si>
    <t xml:space="preserve">Entry-level override (index $2,800.00)</t>
  </si>
  <si>
    <t xml:space="preserve">F6 Fixtures, Lighting, Glass &amp; Appliances</t>
  </si>
  <si>
    <t xml:space="preserve">3.091</t>
  </si>
  <si>
    <t xml:space="preserve">Exterior Lighting</t>
  </si>
  <si>
    <t xml:space="preserve">Exterior light fixture allowance.</t>
  </si>
  <si>
    <t xml:space="preserve">Entry-level override (index $450.00)</t>
  </si>
  <si>
    <t xml:space="preserve">4.037</t>
  </si>
  <si>
    <t xml:space="preserve">Appliance Package</t>
  </si>
  <si>
    <t xml:space="preserve">Appliance package allowance, entry level (fridge, range, DW, hood, W/D).</t>
  </si>
  <si>
    <t xml:space="preserve">Entry-level override (index $30,000.00)</t>
  </si>
  <si>
    <t xml:space="preserve">4.040</t>
  </si>
  <si>
    <t xml:space="preserve">Hardware &amp; Accessories fixtures</t>
  </si>
  <si>
    <t xml:space="preserve">Bath accessories (towel bars, TP holders).</t>
  </si>
  <si>
    <t xml:space="preserve">4.050</t>
  </si>
  <si>
    <t xml:space="preserve">Plumbing Fixture Allowance</t>
  </si>
  <si>
    <t xml:space="preserve">Plumbing fixture allowance (3 toilets, faucets, tub, freestanding tub, shower valve, kitchen sink, laundry tub).</t>
  </si>
  <si>
    <t xml:space="preserve">Entry-level override (index $25,000.00)</t>
  </si>
  <si>
    <t xml:space="preserve">4.051</t>
  </si>
  <si>
    <t xml:space="preserve">Lighting Fixture Allowance</t>
  </si>
  <si>
    <t xml:space="preserve">Interior lighting fixture allowance.</t>
  </si>
  <si>
    <t xml:space="preserve">Entry-level override (index $15,000.00)</t>
  </si>
  <si>
    <t xml:space="preserve">4.058</t>
  </si>
  <si>
    <t xml:space="preserve">Shower Glass</t>
  </si>
  <si>
    <t xml:space="preserve">Ensuite shower glass.</t>
  </si>
  <si>
    <t xml:space="preserve">Entry-level override (index $1,800.00)</t>
  </si>
  <si>
    <t xml:space="preserve">4.064</t>
  </si>
  <si>
    <t xml:space="preserve">Bath Vanities</t>
  </si>
  <si>
    <t xml:space="preserve">Bath vanities with tops: powder, main bath, ensuite.</t>
  </si>
  <si>
    <t xml:space="preserve">Entry-level override (index $3,500.00)</t>
  </si>
  <si>
    <t xml:space="preserve">4.069</t>
  </si>
  <si>
    <t xml:space="preserve">Mirrors</t>
  </si>
  <si>
    <t xml:space="preserve">Bathroom mirrors.</t>
  </si>
  <si>
    <t xml:space="preserve">Entry-level override (index $400.00)</t>
  </si>
  <si>
    <t xml:space="preserve">F7 Exterior Railings, Steps, Driveway &amp; Sod</t>
  </si>
  <si>
    <t xml:space="preserve">3.092</t>
  </si>
  <si>
    <t xml:space="preserve">Exterior Railing</t>
  </si>
  <si>
    <t xml:space="preserve">Exterior aluminum vista railing at raised patio and front steps.</t>
  </si>
  <si>
    <t xml:space="preserve">3.108</t>
  </si>
  <si>
    <t xml:space="preserve">Masonry Supply</t>
  </si>
  <si>
    <t xml:space="preserve">Precast steps, front porch and rear patio (supply).</t>
  </si>
  <si>
    <t xml:space="preserve">3.109</t>
  </si>
  <si>
    <t xml:space="preserve">Masonry Labour</t>
  </si>
  <si>
    <t xml:space="preserve">Precast steps, install.</t>
  </si>
  <si>
    <t xml:space="preserve">3.110</t>
  </si>
  <si>
    <t xml:space="preserve">Asphalt areas</t>
  </si>
  <si>
    <t xml:space="preserve">New asphalt driveway (approx. 24'-6" x 36').</t>
  </si>
  <si>
    <t xml:space="preserve">3.120</t>
  </si>
  <si>
    <t xml:space="preserve">Grass roll Supply</t>
  </si>
  <si>
    <t xml:space="preserve">Sod supply, disturbed areas.</t>
  </si>
  <si>
    <t xml:space="preserve">Entry-level override (index $8.50)</t>
  </si>
  <si>
    <t xml:space="preserve">3.121</t>
  </si>
  <si>
    <t xml:space="preserve">Grass roll Labour</t>
  </si>
  <si>
    <t xml:space="preserve">Sod install.</t>
  </si>
  <si>
    <t xml:space="preserve">Completion (Optional)</t>
  </si>
  <si>
    <t xml:space="preserve">C1 Completion to Occupancy</t>
  </si>
  <si>
    <t xml:space="preserve">Site supervision and PM, finishing phase, 3 additional months.</t>
  </si>
  <si>
    <t xml:space="preserve">Waste bins, finishing phase.</t>
  </si>
  <si>
    <t xml:space="preserve">3.060</t>
  </si>
  <si>
    <t xml:space="preserve">Final Air test</t>
  </si>
  <si>
    <t xml:space="preserve">Final air test.</t>
  </si>
  <si>
    <t xml:space="preserve">5.005</t>
  </si>
  <si>
    <t xml:space="preserve">Final Grade</t>
  </si>
  <si>
    <t xml:space="preserve">Final grading and lot grading certificate.</t>
  </si>
  <si>
    <t xml:space="preserve">5.006</t>
  </si>
  <si>
    <t xml:space="preserve">HVAC Balancing</t>
  </si>
  <si>
    <t xml:space="preserve">HVAC balancing.</t>
  </si>
  <si>
    <t xml:space="preserve">5.007</t>
  </si>
  <si>
    <t xml:space="preserve">Electrical Inspection (ESA)</t>
  </si>
  <si>
    <t xml:space="preserve">ESA final inspection.</t>
  </si>
  <si>
    <t xml:space="preserve">5.008</t>
  </si>
  <si>
    <t xml:space="preserve">Final Building Inspections</t>
  </si>
  <si>
    <t xml:space="preserve">Final building inspections.</t>
  </si>
  <si>
    <t xml:space="preserve">5.009</t>
  </si>
  <si>
    <t xml:space="preserve">Occupancy Requirements</t>
  </si>
  <si>
    <t xml:space="preserve">Occupancy requirements.</t>
  </si>
  <si>
    <t xml:space="preserve">5.010</t>
  </si>
  <si>
    <t xml:space="preserve">Professional Final Cleaning</t>
  </si>
  <si>
    <t xml:space="preserve">Professional final cleaning.</t>
  </si>
  <si>
    <t xml:space="preserve">5.012</t>
  </si>
  <si>
    <t xml:space="preserve">Deficiency Completion / Touch-Ups</t>
  </si>
  <si>
    <t xml:space="preserve">Deficiency completion and touch-ups.</t>
  </si>
  <si>
    <t xml:space="preserve">5.014</t>
  </si>
  <si>
    <t xml:space="preserve">Warranty Service Allowance</t>
  </si>
  <si>
    <t xml:space="preserve">Warranty service reserve.</t>
  </si>
  <si>
    <t xml:space="preserve">Total</t>
  </si>
  <si>
    <t xml:space="preserve">Blue = hardcoded unit cost from PalmView Cost Index (or noted override). Black = formula. Sell = Cost / (1 - target margin) on the Overview tab; Owner Direct passes through at cost.</t>
  </si>
  <si>
    <t xml:space="preserve">94 MARGARET AVE — DIVISION BREAKDOWN</t>
  </si>
  <si>
    <t xml:space="preserve">Cost from Line Items tab; sell at target margin from Overview tab.</t>
  </si>
  <si>
    <t xml:space="preserve">BLOCK 1 — OWNER DIRECT (AT COST)</t>
  </si>
  <si>
    <t xml:space="preserve">% of Block Sell</t>
  </si>
  <si>
    <t xml:space="preserve">Total Owner Direct</t>
  </si>
  <si>
    <t xml:space="preserve">BLOCK 2 — FIXED COST TO DRYWALL &amp; PRIME</t>
  </si>
  <si>
    <t xml:space="preserve">17 Construction Contingency</t>
  </si>
  <si>
    <t xml:space="preserve">Total Fixed to Drywall</t>
  </si>
  <si>
    <t xml:space="preserve">BLOCK 3 — FINISH ALLOWANCES, ENTRY LEVEL (OPTIONAL)</t>
  </si>
  <si>
    <t xml:space="preserve">Total Finish Allowances</t>
  </si>
  <si>
    <t xml:space="preserve">COMPLETION TO OCCUPANCY (OPTIONAL)</t>
  </si>
  <si>
    <t xml:space="preserve">Total Completion</t>
  </si>
  <si>
    <t xml:space="preserve">94 MARGARET AVE — APPROXIMATE SCHEDULE</t>
  </si>
  <si>
    <t xml:space="preserve">Construction start (Week 1, Monday):</t>
  </si>
  <si>
    <t xml:space="preserve">Assumes permit issued and services disconnected before Week 1. Weather, inspections and selections can move dates.</t>
  </si>
  <si>
    <t xml:space="preserve">Phase</t>
  </si>
  <si>
    <t xml:space="preserve">Trade / By</t>
  </si>
  <si>
    <t xml:space="preserve">Start Wk</t>
  </si>
  <si>
    <t xml:space="preserve">Weeks</t>
  </si>
  <si>
    <t xml:space="preserve">End Wk</t>
  </si>
  <si>
    <t xml:space="preserve">Start Date</t>
  </si>
  <si>
    <t xml:space="preserve">End Date</t>
  </si>
  <si>
    <t xml:space="preserve">PRE-CONSTRUCTION</t>
  </si>
  <si>
    <t xml:space="preserve">Permit issuance, utility disconnects, hazardous materials survey</t>
  </si>
  <si>
    <t xml:space="preserve">Owner / PalmView</t>
  </si>
  <si>
    <t xml:space="preserve">FIXED SCOPE — TO DRYWALL</t>
  </si>
  <si>
    <t xml:space="preserve">Site setup, fencing, tree protection</t>
  </si>
  <si>
    <t xml:space="preserve">PalmView</t>
  </si>
  <si>
    <t xml:space="preserve">Abatement (if required)</t>
  </si>
  <si>
    <t xml:space="preserve">Abatement sub</t>
  </si>
  <si>
    <t xml:space="preserve">Demolition &amp; site clearing</t>
  </si>
  <si>
    <t xml:space="preserve">Demo sub</t>
  </si>
  <si>
    <t xml:space="preserve">Stakeout &amp; excavation</t>
  </si>
  <si>
    <t xml:space="preserve">Surveyor / Excavator</t>
  </si>
  <si>
    <t xml:space="preserve">Footings</t>
  </si>
  <si>
    <t xml:space="preserve">Forming sub</t>
  </si>
  <si>
    <t xml:space="preserve">Foundation walls</t>
  </si>
  <si>
    <t xml:space="preserve">Dampproofing, weeping tile, underground plumbing &amp; services</t>
  </si>
  <si>
    <t xml:space="preserve">Waterproofer / Plumber</t>
  </si>
  <si>
    <t xml:space="preserve">Backfill &amp; rough grade</t>
  </si>
  <si>
    <t xml:space="preserve">Excavator</t>
  </si>
  <si>
    <t xml:space="preserve">Framing: floors, walls, 2nd floor, steel</t>
  </si>
  <si>
    <t xml:space="preserve">Framer / Steel</t>
  </si>
  <si>
    <t xml:space="preserve">Roof trusses (crane) &amp; sheathing</t>
  </si>
  <si>
    <t xml:space="preserve">Framer</t>
  </si>
  <si>
    <t xml:space="preserve">Roofing: shingles &amp; flat roofs</t>
  </si>
  <si>
    <t xml:space="preserve">Roofer</t>
  </si>
  <si>
    <t xml:space="preserve">Windows &amp; exterior doors</t>
  </si>
  <si>
    <t xml:space="preserve">Window sub</t>
  </si>
  <si>
    <t xml:space="preserve">HVAC, plumbing, gas &amp; electrical rough-ins</t>
  </si>
  <si>
    <t xml:space="preserve">Mechanical / Electrical</t>
  </si>
  <si>
    <t xml:space="preserve">Basement &amp; garage slabs</t>
  </si>
  <si>
    <t xml:space="preserve">Concrete sub</t>
  </si>
  <si>
    <t xml:space="preserve">Brick, stone &amp; stucco</t>
  </si>
  <si>
    <t xml:space="preserve">Mason / Stucco</t>
  </si>
  <si>
    <t xml:space="preserve">Framing &amp; rough-in inspections</t>
  </si>
  <si>
    <t xml:space="preserve">City of Hamilton</t>
  </si>
  <si>
    <t xml:space="preserve">Insulation, spray foam, air test</t>
  </si>
  <si>
    <t xml:space="preserve">Insulator</t>
  </si>
  <si>
    <t xml:space="preserve">Soffit, fascia, eavestrough</t>
  </si>
  <si>
    <t xml:space="preserve">Exterior sub</t>
  </si>
  <si>
    <t xml:space="preserve">Drywall: hang, tape, finish</t>
  </si>
  <si>
    <t xml:space="preserve">Drywaller</t>
  </si>
  <si>
    <t xml:space="preserve">Prime coat &amp; drywall turnover</t>
  </si>
  <si>
    <t xml:space="preserve">Painter</t>
  </si>
  <si>
    <t xml:space="preserve">OPTIONAL — FINISH TO OCCUPANCY</t>
  </si>
  <si>
    <t xml:space="preserve">Trim, interior doors, stairs &amp; railings</t>
  </si>
  <si>
    <t xml:space="preserve">Finish carpenter</t>
  </si>
  <si>
    <t xml:space="preserve">Cabinets &amp; countertops (template to install)</t>
  </si>
  <si>
    <t xml:space="preserve">Cabinet / Counter</t>
  </si>
  <si>
    <t xml:space="preserve">Flooring &amp; tile</t>
  </si>
  <si>
    <t xml:space="preserve">Flooring / Tile</t>
  </si>
  <si>
    <t xml:space="preserve">Finish paint</t>
  </si>
  <si>
    <t xml:space="preserve">Mechanical &amp; electrical finish, fixtures, appliances</t>
  </si>
  <si>
    <t xml:space="preserve">Trades</t>
  </si>
  <si>
    <t xml:space="preserve">Final grade, driveway, sod</t>
  </si>
  <si>
    <t xml:space="preserve">Landscaper / Paver</t>
  </si>
  <si>
    <t xml:space="preserve">Final clean, inspections, occupancy</t>
  </si>
  <si>
    <t xml:space="preserve">PalmView / City</t>
  </si>
  <si>
    <t xml:space="preserve">Deficiencies &amp; handover</t>
  </si>
  <si>
    <t xml:space="preserve">MILESTONES</t>
  </si>
  <si>
    <t xml:space="preserve">Construction start</t>
  </si>
  <si>
    <t xml:space="preserve">Foundation complete (end Wk 9)</t>
  </si>
  <si>
    <t xml:space="preserve">Framed &amp; roofed, closed in (end Wk 16)</t>
  </si>
  <si>
    <t xml:space="preserve">Drywall &amp; prime complete — FIXED SCOPE DONE (end Wk 27)</t>
  </si>
  <si>
    <t xml:space="preserve">Occupancy if finishing included (end Wk 39)</t>
  </si>
  <si>
    <t xml:space="preserve">Fixed scope to drywall: about 27 weeks (approx. 6 months, matching 6 months of supervision carried). Finishing adds about 12 weeks.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</si>
</sst>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#,##0"/>
    <numFmt numFmtId="167" formatCode="\$#,##0;&quot;($&quot;#,##0\);\-"/>
    <numFmt numFmtId="168" formatCode="\$#,##0.00;&quot;($&quot;#,##0.00\);\-"/>
    <numFmt numFmtId="169" formatCode="mmm\ d&quot;, &quot;yyyy"/>
    <numFmt numFmtId="170" formatCode="General"/>
    <numFmt numFmtId="171" formatCode="mmm\ d&quot;, &quot;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2E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1F3A2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  <font>
      <b val="true"/>
      <sz val="11"/>
      <color rgb="FF1F3A2E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2E"/>
        <bgColor rgb="FF333300"/>
      </patternFill>
    </fill>
    <fill>
      <patternFill patternType="solid">
        <fgColor rgb="FFD9E2DC"/>
        <bgColor rgb="FFDDDDDD"/>
      </patternFill>
    </fill>
    <fill>
      <patternFill patternType="solid">
        <fgColor rgb="FFE8EFEA"/>
        <bgColor rgb="FFD9E2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4BB"/>
      </left>
      <right style="thin">
        <color rgb="FFB7C4BB"/>
      </right>
      <top style="thin">
        <color rgb="FFB7C4BB"/>
      </top>
      <bottom style="thin">
        <color rgb="FFB7C4BB"/>
      </bottom>
      <diagonal/>
    </border>
    <border diagonalUp="false" diagonalDown="false">
      <left style="hair">
        <color rgb="FFDDDDDD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2E7D5B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BB"/>
      <rgbColor rgb="FF808080"/>
      <rgbColor rgb="FF9999FF"/>
      <rgbColor rgb="FF993366"/>
      <rgbColor rgb="FFE8EFEA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2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5B"/>
      <rgbColor rgb="FF003300"/>
      <rgbColor rgb="FF333300"/>
      <rgbColor rgb="FF993300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7" min="3" style="0" width="17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4" t="s">
        <v>4</v>
      </c>
      <c r="D5" s="4" t="s">
        <v>5</v>
      </c>
    </row>
    <row r="6" customFormat="false" ht="15" hidden="false" customHeight="false" outlineLevel="0" collapsed="false">
      <c r="B6" s="5" t="s">
        <v>6</v>
      </c>
      <c r="C6" s="6" t="n">
        <v>0.13</v>
      </c>
      <c r="D6" s="2" t="s">
        <v>7</v>
      </c>
    </row>
    <row r="7" customFormat="false" ht="15" hidden="false" customHeight="false" outlineLevel="0" collapsed="false">
      <c r="B7" s="5" t="s">
        <v>8</v>
      </c>
      <c r="C7" s="6" t="n">
        <v>0.05</v>
      </c>
      <c r="D7" s="2" t="s">
        <v>9</v>
      </c>
    </row>
    <row r="8" customFormat="false" ht="15" hidden="false" customHeight="false" outlineLevel="0" collapsed="false">
      <c r="B8" s="5" t="s">
        <v>10</v>
      </c>
      <c r="C8" s="6" t="n">
        <v>0.35</v>
      </c>
      <c r="D8" s="2" t="s">
        <v>11</v>
      </c>
    </row>
    <row r="9" customFormat="false" ht="15" hidden="false" customHeight="false" outlineLevel="0" collapsed="false">
      <c r="B9" s="4" t="s">
        <v>12</v>
      </c>
      <c r="C9" s="7" t="n">
        <v>0.4</v>
      </c>
      <c r="D9" s="2" t="s">
        <v>13</v>
      </c>
    </row>
    <row r="10" customFormat="false" ht="15" hidden="false" customHeight="false" outlineLevel="0" collapsed="false">
      <c r="B10" s="0" t="s">
        <v>14</v>
      </c>
      <c r="C10" s="8" t="n">
        <f aca="false">C9/(1-C9)</f>
        <v>0.666666666666667</v>
      </c>
      <c r="D10" s="2" t="s">
        <v>15</v>
      </c>
    </row>
    <row r="12" customFormat="false" ht="15" hidden="false" customHeight="false" outlineLevel="0" collapsed="false">
      <c r="B12" s="3" t="s">
        <v>16</v>
      </c>
    </row>
    <row r="13" customFormat="false" ht="15" hidden="false" customHeight="false" outlineLevel="0" collapsed="false">
      <c r="B13" s="5" t="s">
        <v>17</v>
      </c>
      <c r="C13" s="5" t="s">
        <v>18</v>
      </c>
    </row>
    <row r="14" customFormat="false" ht="15" hidden="false" customHeight="false" outlineLevel="0" collapsed="false">
      <c r="B14" s="5" t="s">
        <v>19</v>
      </c>
      <c r="C14" s="5" t="s">
        <v>20</v>
      </c>
    </row>
    <row r="15" customFormat="false" ht="15" hidden="false" customHeight="false" outlineLevel="0" collapsed="false">
      <c r="B15" s="5" t="s">
        <v>21</v>
      </c>
      <c r="C15" s="5" t="s">
        <v>22</v>
      </c>
    </row>
    <row r="16" customFormat="false" ht="15" hidden="false" customHeight="false" outlineLevel="0" collapsed="false">
      <c r="B16" s="5" t="s">
        <v>23</v>
      </c>
      <c r="C16" s="5" t="s">
        <v>24</v>
      </c>
    </row>
    <row r="17" customFormat="false" ht="15" hidden="false" customHeight="false" outlineLevel="0" collapsed="false">
      <c r="B17" s="5" t="s">
        <v>25</v>
      </c>
      <c r="C17" s="5" t="s">
        <v>26</v>
      </c>
    </row>
    <row r="18" customFormat="false" ht="15" hidden="false" customHeight="false" outlineLevel="0" collapsed="false">
      <c r="B18" s="5" t="s">
        <v>27</v>
      </c>
      <c r="C18" s="9" t="n">
        <v>1460</v>
      </c>
    </row>
    <row r="19" customFormat="false" ht="15" hidden="false" customHeight="false" outlineLevel="0" collapsed="false">
      <c r="B19" s="5" t="s">
        <v>28</v>
      </c>
      <c r="C19" s="9" t="n">
        <v>1470</v>
      </c>
    </row>
    <row r="20" customFormat="false" ht="15" hidden="false" customHeight="false" outlineLevel="0" collapsed="false">
      <c r="B20" s="5" t="s">
        <v>29</v>
      </c>
      <c r="C20" s="10" t="n">
        <f aca="false">C18+C19</f>
        <v>2930</v>
      </c>
    </row>
    <row r="21" customFormat="false" ht="15" hidden="false" customHeight="false" outlineLevel="0" collapsed="false">
      <c r="B21" s="5" t="s">
        <v>30</v>
      </c>
      <c r="C21" s="9" t="n">
        <v>1460</v>
      </c>
    </row>
    <row r="22" customFormat="false" ht="15" hidden="false" customHeight="false" outlineLevel="0" collapsed="false">
      <c r="B22" s="5" t="s">
        <v>31</v>
      </c>
      <c r="C22" s="9" t="n">
        <v>548</v>
      </c>
    </row>
    <row r="23" customFormat="false" ht="15" hidden="false" customHeight="false" outlineLevel="0" collapsed="false">
      <c r="B23" s="5" t="s">
        <v>32</v>
      </c>
      <c r="C23" s="5" t="s">
        <v>33</v>
      </c>
    </row>
    <row r="26" customFormat="false" ht="15" hidden="false" customHeight="false" outlineLevel="0" collapsed="false">
      <c r="B26" s="3" t="s">
        <v>34</v>
      </c>
    </row>
    <row r="27" customFormat="false" ht="15" hidden="false" customHeight="false" outlineLevel="0" collapsed="false">
      <c r="A27" s="11"/>
      <c r="B27" s="12" t="s">
        <v>35</v>
      </c>
      <c r="C27" s="12" t="s">
        <v>36</v>
      </c>
      <c r="D27" s="12" t="s">
        <v>37</v>
      </c>
      <c r="E27" s="12" t="s">
        <v>38</v>
      </c>
      <c r="F27" s="12" t="s">
        <v>39</v>
      </c>
      <c r="G27" s="12" t="s">
        <v>40</v>
      </c>
    </row>
    <row r="28" customFormat="false" ht="15" hidden="false" customHeight="false" outlineLevel="0" collapsed="false">
      <c r="B28" s="13" t="s">
        <v>41</v>
      </c>
      <c r="C28" s="13" t="n">
        <f aca="false">SUMIFS('Line Items'!$I$2:$I$132,'Line Items'!$A$2:$A$132,"Owner Direct")</f>
        <v>72000</v>
      </c>
      <c r="D28" s="13" t="n">
        <f aca="false">C28</f>
        <v>72000</v>
      </c>
      <c r="E28" s="13" t="n">
        <f aca="false">D28-C28</f>
        <v>0</v>
      </c>
      <c r="F28" s="14" t="n">
        <f aca="false">IF(D28=0,0,E28/D28)</f>
        <v>0</v>
      </c>
      <c r="G28" s="14" t="n">
        <f aca="false">IF(C28=0,0,E28/C28)</f>
        <v>0</v>
      </c>
    </row>
    <row r="29" customFormat="false" ht="15" hidden="false" customHeight="false" outlineLevel="0" collapsed="false">
      <c r="B29" s="13" t="s">
        <v>42</v>
      </c>
      <c r="C29" s="13" t="n">
        <f aca="false">SUMIFS('Line Items'!$I$2:$I$132,'Line Items'!$A$2:$A$132,"Fixed to Drywall")</f>
        <v>987679.5</v>
      </c>
      <c r="D29" s="13" t="n">
        <f aca="false">C29/(1-$C$9)</f>
        <v>1646132.5</v>
      </c>
      <c r="E29" s="13" t="n">
        <f aca="false">D29-C29</f>
        <v>658453</v>
      </c>
      <c r="F29" s="14" t="n">
        <f aca="false">IF(D29=0,0,E29/D29)</f>
        <v>0.4</v>
      </c>
      <c r="G29" s="14" t="n">
        <f aca="false">IF(C29=0,0,E29/C29)</f>
        <v>0.666666666666667</v>
      </c>
    </row>
    <row r="30" customFormat="false" ht="15" hidden="false" customHeight="false" outlineLevel="0" collapsed="false">
      <c r="B30" s="13" t="s">
        <v>43</v>
      </c>
      <c r="C30" s="13" t="n">
        <f aca="false">C29*$C$7</f>
        <v>49383.975</v>
      </c>
      <c r="D30" s="13" t="n">
        <f aca="false">C30/(1-$C$9)</f>
        <v>82306.625</v>
      </c>
      <c r="E30" s="13" t="n">
        <f aca="false">D30-C30</f>
        <v>32922.65</v>
      </c>
      <c r="F30" s="14" t="n">
        <f aca="false">IF(D30=0,0,E30/D30)</f>
        <v>0.4</v>
      </c>
      <c r="G30" s="14" t="n">
        <f aca="false">IF(C30=0,0,E30/C30)</f>
        <v>0.666666666666667</v>
      </c>
    </row>
    <row r="31" customFormat="false" ht="15" hidden="false" customHeight="false" outlineLevel="0" collapsed="false">
      <c r="B31" s="15" t="s">
        <v>44</v>
      </c>
      <c r="C31" s="15" t="n">
        <f aca="false">SUM(C28:C30)</f>
        <v>1109063.475</v>
      </c>
      <c r="D31" s="15" t="n">
        <f aca="false">SUM(D28:D30)</f>
        <v>1800439.125</v>
      </c>
      <c r="E31" s="15" t="n">
        <f aca="false">D31-C31</f>
        <v>691375.65</v>
      </c>
      <c r="F31" s="16" t="n">
        <f aca="false">IF(D31=0,0,E31/D31)</f>
        <v>0.384003902381315</v>
      </c>
      <c r="G31" s="16" t="n">
        <f aca="false">IF(C31=0,0,E31/C31)</f>
        <v>0.623386907588855</v>
      </c>
    </row>
    <row r="32" customFormat="false" ht="15" hidden="false" customHeight="false" outlineLevel="0" collapsed="false">
      <c r="B32" s="13" t="s">
        <v>45</v>
      </c>
      <c r="C32" s="13" t="n">
        <f aca="false">SUMIFS('Line Items'!$I$2:$I$132,'Line Items'!$A$2:$A$132,"Finish Allowance (Optional)")</f>
        <v>166819.5</v>
      </c>
      <c r="D32" s="13" t="n">
        <f aca="false">C32/(1-$C$9)</f>
        <v>278032.5</v>
      </c>
      <c r="E32" s="13" t="n">
        <f aca="false">D32-C32</f>
        <v>111213</v>
      </c>
      <c r="F32" s="14" t="n">
        <f aca="false">IF(D32=0,0,E32/D32)</f>
        <v>0.4</v>
      </c>
      <c r="G32" s="14" t="n">
        <f aca="false">IF(C32=0,0,E32/C32)</f>
        <v>0.666666666666667</v>
      </c>
    </row>
    <row r="33" customFormat="false" ht="15" hidden="false" customHeight="false" outlineLevel="0" collapsed="false">
      <c r="B33" s="13" t="s">
        <v>46</v>
      </c>
      <c r="C33" s="13" t="n">
        <f aca="false">SUMIFS('Line Items'!$I$2:$I$132,'Line Items'!$A$2:$A$132,"Completion (Optional)")</f>
        <v>84650</v>
      </c>
      <c r="D33" s="13" t="n">
        <f aca="false">C33/(1-$C$9)</f>
        <v>141083.333333333</v>
      </c>
      <c r="E33" s="13" t="n">
        <f aca="false">D33-C33</f>
        <v>56433.3333333333</v>
      </c>
      <c r="F33" s="14" t="n">
        <f aca="false">IF(D33=0,0,E33/D33)</f>
        <v>0.4</v>
      </c>
      <c r="G33" s="14" t="n">
        <f aca="false">IF(C33=0,0,E33/C33)</f>
        <v>0.666666666666667</v>
      </c>
    </row>
    <row r="34" customFormat="false" ht="15" hidden="false" customHeight="false" outlineLevel="0" collapsed="false">
      <c r="B34" s="15" t="s">
        <v>47</v>
      </c>
      <c r="C34" s="15" t="n">
        <f aca="false">C31+C32+C33</f>
        <v>1360532.975</v>
      </c>
      <c r="D34" s="15" t="n">
        <f aca="false">D31+D32+D33</f>
        <v>2219554.95833333</v>
      </c>
      <c r="E34" s="15" t="n">
        <f aca="false">D34-C34</f>
        <v>859021.983333333</v>
      </c>
      <c r="F34" s="16" t="n">
        <f aca="false">IF(D34=0,0,E34/D34)</f>
        <v>0.387024425823803</v>
      </c>
      <c r="G34" s="16" t="n">
        <f aca="false">IF(C34=0,0,E34/C34)</f>
        <v>0.631386375132388</v>
      </c>
    </row>
    <row r="36" customFormat="false" ht="15" hidden="false" customHeight="false" outlineLevel="0" collapsed="false">
      <c r="B36" s="3" t="s">
        <v>48</v>
      </c>
    </row>
    <row r="37" customFormat="false" ht="15" hidden="false" customHeight="false" outlineLevel="0" collapsed="false">
      <c r="A37" s="11"/>
      <c r="B37" s="11"/>
      <c r="C37" s="12" t="s">
        <v>49</v>
      </c>
      <c r="D37" s="12" t="s">
        <v>6</v>
      </c>
      <c r="E37" s="12" t="s">
        <v>50</v>
      </c>
      <c r="F37" s="12" t="s">
        <v>51</v>
      </c>
      <c r="G37" s="12" t="s">
        <v>52</v>
      </c>
    </row>
    <row r="38" customFormat="false" ht="15" hidden="false" customHeight="false" outlineLevel="0" collapsed="false">
      <c r="B38" s="4" t="s">
        <v>53</v>
      </c>
      <c r="C38" s="13" t="n">
        <f aca="false">D31</f>
        <v>1800439.125</v>
      </c>
      <c r="D38" s="13" t="n">
        <f aca="false">C38*$C$6</f>
        <v>234057.08625</v>
      </c>
      <c r="E38" s="13" t="n">
        <f aca="false">C38+D38</f>
        <v>2034496.21125</v>
      </c>
      <c r="F38" s="13" t="n">
        <f aca="false">D31/$C$20</f>
        <v>614.484343003413</v>
      </c>
      <c r="G38" s="13" t="n">
        <f aca="false">C31/$C$20</f>
        <v>378.519957337884</v>
      </c>
    </row>
    <row r="39" customFormat="false" ht="15" hidden="false" customHeight="false" outlineLevel="0" collapsed="false">
      <c r="B39" s="4" t="s">
        <v>54</v>
      </c>
      <c r="C39" s="13" t="n">
        <f aca="false">D34</f>
        <v>2219554.95833333</v>
      </c>
      <c r="D39" s="13" t="n">
        <f aca="false">C39*$C$6</f>
        <v>288542.144583333</v>
      </c>
      <c r="E39" s="13" t="n">
        <f aca="false">C39+D39</f>
        <v>2508097.10291667</v>
      </c>
      <c r="F39" s="13" t="n">
        <f aca="false">D34/$C$20</f>
        <v>757.527289533561</v>
      </c>
      <c r="G39" s="13" t="n">
        <f aca="false">C34/$C$20</f>
        <v>464.345725255973</v>
      </c>
    </row>
    <row r="41" customFormat="false" ht="15" hidden="false" customHeight="false" outlineLevel="0" collapsed="false">
      <c r="B41" s="3" t="s">
        <v>55</v>
      </c>
    </row>
    <row r="42" customFormat="false" ht="15" hidden="false" customHeight="false" outlineLevel="0" collapsed="false">
      <c r="A42" s="11"/>
      <c r="B42" s="11"/>
      <c r="C42" s="12" t="s">
        <v>37</v>
      </c>
      <c r="D42" s="12" t="s">
        <v>38</v>
      </c>
      <c r="E42" s="12" t="s">
        <v>39</v>
      </c>
      <c r="F42" s="12" t="s">
        <v>40</v>
      </c>
      <c r="G42" s="12" t="s">
        <v>56</v>
      </c>
    </row>
    <row r="43" customFormat="false" ht="15" hidden="false" customHeight="false" outlineLevel="0" collapsed="false">
      <c r="B43" s="13" t="s">
        <v>57</v>
      </c>
      <c r="C43" s="13" t="n">
        <f aca="false">D31</f>
        <v>1800439.125</v>
      </c>
      <c r="D43" s="13" t="n">
        <f aca="false">C43-$C$31</f>
        <v>691375.65</v>
      </c>
      <c r="E43" s="14" t="n">
        <f aca="false">D43/C43</f>
        <v>0.384003902381315</v>
      </c>
      <c r="F43" s="14" t="n">
        <f aca="false">D43/$C$31</f>
        <v>0.623386907588855</v>
      </c>
      <c r="G43" s="13" t="n">
        <f aca="false">C43-$C$43</f>
        <v>0</v>
      </c>
    </row>
    <row r="44" customFormat="false" ht="15" hidden="false" customHeight="false" outlineLevel="0" collapsed="false">
      <c r="B44" s="13" t="s">
        <v>58</v>
      </c>
      <c r="C44" s="13" t="n">
        <f aca="false">C28+(C29+C30)*(1+$C$8)</f>
        <v>1472035.69125</v>
      </c>
      <c r="D44" s="13" t="n">
        <f aca="false">C44-$C$31</f>
        <v>362972.21625</v>
      </c>
      <c r="E44" s="14" t="n">
        <f aca="false">D44/C44</f>
        <v>0.246578407308709</v>
      </c>
      <c r="F44" s="14" t="n">
        <f aca="false">D44/$C$31</f>
        <v>0.327278126484149</v>
      </c>
      <c r="G44" s="13" t="n">
        <f aca="false">C44-$C$43</f>
        <v>-328403.43375</v>
      </c>
    </row>
    <row r="45" customFormat="false" ht="15" hidden="false" customHeight="false" outlineLevel="0" collapsed="false">
      <c r="B45" s="2" t="s">
        <v>59</v>
      </c>
    </row>
    <row r="47" customFormat="false" ht="15" hidden="false" customHeight="false" outlineLevel="0" collapsed="false">
      <c r="B47" s="3" t="s">
        <v>60</v>
      </c>
    </row>
    <row r="48" customFormat="false" ht="15" hidden="false" customHeight="false" outlineLevel="0" collapsed="false">
      <c r="B48" s="5" t="s">
        <v>61</v>
      </c>
    </row>
    <row r="49" customFormat="false" ht="15" hidden="false" customHeight="false" outlineLevel="0" collapsed="false">
      <c r="B49" s="5" t="s">
        <v>62</v>
      </c>
    </row>
    <row r="50" customFormat="false" ht="15" hidden="false" customHeight="false" outlineLevel="0" collapsed="false">
      <c r="B50" s="5" t="s">
        <v>63</v>
      </c>
    </row>
    <row r="51" customFormat="false" ht="15" hidden="false" customHeight="false" outlineLevel="0" collapsed="false">
      <c r="B51" s="5" t="s">
        <v>64</v>
      </c>
    </row>
    <row r="52" customFormat="false" ht="15" hidden="false" customHeight="false" outlineLevel="0" collapsed="false">
      <c r="B52" s="5" t="s">
        <v>65</v>
      </c>
    </row>
    <row r="53" customFormat="false" ht="15" hidden="false" customHeight="false" outlineLevel="0" collapsed="false">
      <c r="B53" s="5" t="s">
        <v>66</v>
      </c>
    </row>
    <row r="55" customFormat="false" ht="15" hidden="false" customHeight="false" outlineLevel="0" collapsed="false">
      <c r="B55" s="17" t="s">
        <v>67</v>
      </c>
    </row>
    <row r="56" customFormat="false" ht="15" hidden="false" customHeight="false" outlineLevel="0" collapsed="false">
      <c r="B56" s="5" t="s">
        <v>68</v>
      </c>
    </row>
    <row r="57" customFormat="false" ht="15" hidden="false" customHeight="false" outlineLevel="0" collapsed="false">
      <c r="B57" s="5" t="s">
        <v>69</v>
      </c>
    </row>
    <row r="58" customFormat="false" ht="15" hidden="false" customHeight="false" outlineLevel="0" collapsed="false">
      <c r="B58" s="5" t="s">
        <v>70</v>
      </c>
    </row>
    <row r="59" customFormat="false" ht="15" hidden="false" customHeight="false" outlineLevel="0" collapsed="false">
      <c r="B59" s="5" t="s">
        <v>71</v>
      </c>
    </row>
    <row r="60" customFormat="false" ht="15" hidden="false" customHeight="false" outlineLevel="0" collapsed="false">
      <c r="B60" s="5" t="s">
        <v>72</v>
      </c>
    </row>
    <row r="61" customFormat="false" ht="15" hidden="false" customHeight="false" outlineLevel="0" collapsed="false">
      <c r="B61" s="5" t="s">
        <v>73</v>
      </c>
    </row>
    <row r="62" customFormat="false" ht="15" hidden="false" customHeight="false" outlineLevel="0" collapsed="false">
      <c r="B62" s="5" t="s">
        <v>74</v>
      </c>
    </row>
    <row r="63" customFormat="false" ht="15" hidden="false" customHeight="false" outlineLevel="0" collapsed="false">
      <c r="B63" s="5" t="s">
        <v>75</v>
      </c>
    </row>
    <row r="65" customFormat="false" ht="15" hidden="false" customHeight="false" outlineLevel="0" collapsed="false">
      <c r="B65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70"/>
    <col collapsed="false" customWidth="true" hidden="false" outlineLevel="0" max="6" min="6" style="0" width="9"/>
    <col collapsed="false" customWidth="true" hidden="false" outlineLevel="0" max="8" min="7" style="0" width="11"/>
    <col collapsed="false" customWidth="true" hidden="false" outlineLevel="0" max="10" min="9" style="0" width="13"/>
    <col collapsed="false" customWidth="true" hidden="false" outlineLevel="0" max="11" min="11" style="0" width="26"/>
  </cols>
  <sheetData>
    <row r="1" customFormat="false" ht="23.85" hidden="false" customHeight="false" outlineLevel="0" collapsed="false">
      <c r="A1" s="12" t="s">
        <v>35</v>
      </c>
      <c r="B1" s="12" t="s">
        <v>77</v>
      </c>
      <c r="C1" s="12" t="s">
        <v>78</v>
      </c>
      <c r="D1" s="12" t="s">
        <v>79</v>
      </c>
      <c r="E1" s="12" t="s">
        <v>80</v>
      </c>
      <c r="F1" s="12" t="s">
        <v>81</v>
      </c>
      <c r="G1" s="12" t="s">
        <v>82</v>
      </c>
      <c r="H1" s="12" t="s">
        <v>83</v>
      </c>
      <c r="I1" s="12" t="s">
        <v>36</v>
      </c>
      <c r="J1" s="12" t="s">
        <v>37</v>
      </c>
      <c r="K1" s="12" t="s">
        <v>84</v>
      </c>
    </row>
    <row r="2" customFormat="false" ht="28.35" hidden="false" customHeight="false" outlineLevel="0" collapsed="false">
      <c r="A2" s="18" t="s">
        <v>85</v>
      </c>
      <c r="B2" s="18" t="s">
        <v>86</v>
      </c>
      <c r="C2" s="18" t="s">
        <v>87</v>
      </c>
      <c r="D2" s="18" t="s">
        <v>88</v>
      </c>
      <c r="E2" s="19" t="s">
        <v>89</v>
      </c>
      <c r="F2" s="20" t="n">
        <v>1</v>
      </c>
      <c r="G2" s="18" t="s">
        <v>90</v>
      </c>
      <c r="H2" s="21" t="n">
        <v>12000</v>
      </c>
      <c r="I2" s="22" t="n">
        <f aca="false">F2*H2</f>
        <v>12000</v>
      </c>
      <c r="J2" s="22" t="n">
        <f aca="false">I2</f>
        <v>12000</v>
      </c>
      <c r="K2" s="18"/>
    </row>
    <row r="3" customFormat="false" ht="28.35" hidden="false" customHeight="false" outlineLevel="0" collapsed="false">
      <c r="A3" s="18" t="s">
        <v>85</v>
      </c>
      <c r="B3" s="18" t="s">
        <v>91</v>
      </c>
      <c r="C3" s="18" t="s">
        <v>92</v>
      </c>
      <c r="D3" s="18" t="s">
        <v>93</v>
      </c>
      <c r="E3" s="19" t="s">
        <v>94</v>
      </c>
      <c r="F3" s="20" t="n">
        <v>1</v>
      </c>
      <c r="G3" s="18" t="s">
        <v>90</v>
      </c>
      <c r="H3" s="21" t="n">
        <v>45000</v>
      </c>
      <c r="I3" s="22" t="n">
        <f aca="false">F3*H3</f>
        <v>45000</v>
      </c>
      <c r="J3" s="22" t="n">
        <f aca="false">I3</f>
        <v>45000</v>
      </c>
      <c r="K3" s="18" t="s">
        <v>95</v>
      </c>
    </row>
    <row r="4" customFormat="false" ht="28.35" hidden="false" customHeight="false" outlineLevel="0" collapsed="false">
      <c r="A4" s="18" t="s">
        <v>85</v>
      </c>
      <c r="B4" s="18" t="s">
        <v>96</v>
      </c>
      <c r="C4" s="18" t="s">
        <v>97</v>
      </c>
      <c r="D4" s="18" t="s">
        <v>98</v>
      </c>
      <c r="E4" s="19" t="s">
        <v>99</v>
      </c>
      <c r="F4" s="20" t="n">
        <v>1</v>
      </c>
      <c r="G4" s="18" t="s">
        <v>90</v>
      </c>
      <c r="H4" s="21" t="n">
        <v>15000</v>
      </c>
      <c r="I4" s="22" t="n">
        <f aca="false">F4*H4</f>
        <v>15000</v>
      </c>
      <c r="J4" s="22" t="n">
        <f aca="false">I4</f>
        <v>15000</v>
      </c>
      <c r="K4" s="18"/>
    </row>
    <row r="5" customFormat="false" ht="28.35" hidden="false" customHeight="false" outlineLevel="0" collapsed="false">
      <c r="A5" s="18" t="s">
        <v>100</v>
      </c>
      <c r="B5" s="18" t="s">
        <v>101</v>
      </c>
      <c r="C5" s="18" t="s">
        <v>102</v>
      </c>
      <c r="D5" s="18" t="s">
        <v>103</v>
      </c>
      <c r="E5" s="19" t="s">
        <v>104</v>
      </c>
      <c r="F5" s="20" t="n">
        <v>1</v>
      </c>
      <c r="G5" s="18" t="s">
        <v>90</v>
      </c>
      <c r="H5" s="21" t="n">
        <v>15000</v>
      </c>
      <c r="I5" s="22" t="n">
        <f aca="false">F5*H5</f>
        <v>15000</v>
      </c>
      <c r="J5" s="22" t="n">
        <f aca="false">I5/(1-'Overview &amp; Margins'!$C$9)</f>
        <v>25000</v>
      </c>
      <c r="K5" s="18"/>
    </row>
    <row r="6" customFormat="false" ht="28.35" hidden="false" customHeight="false" outlineLevel="0" collapsed="false">
      <c r="A6" s="18" t="s">
        <v>100</v>
      </c>
      <c r="B6" s="18" t="s">
        <v>101</v>
      </c>
      <c r="C6" s="18" t="s">
        <v>105</v>
      </c>
      <c r="D6" s="18" t="s">
        <v>106</v>
      </c>
      <c r="E6" s="19" t="s">
        <v>107</v>
      </c>
      <c r="F6" s="20" t="n">
        <v>1</v>
      </c>
      <c r="G6" s="18" t="s">
        <v>90</v>
      </c>
      <c r="H6" s="21" t="n">
        <v>7000</v>
      </c>
      <c r="I6" s="22" t="n">
        <f aca="false">F6*H6</f>
        <v>7000</v>
      </c>
      <c r="J6" s="22" t="n">
        <f aca="false">I6/(1-'Overview &amp; Margins'!$C$9)</f>
        <v>11666.6666666667</v>
      </c>
      <c r="K6" s="18"/>
    </row>
    <row r="7" customFormat="false" ht="15" hidden="false" customHeight="false" outlineLevel="0" collapsed="false">
      <c r="A7" s="18" t="s">
        <v>100</v>
      </c>
      <c r="B7" s="18" t="s">
        <v>101</v>
      </c>
      <c r="C7" s="18" t="s">
        <v>108</v>
      </c>
      <c r="D7" s="18" t="s">
        <v>109</v>
      </c>
      <c r="E7" s="19" t="s">
        <v>110</v>
      </c>
      <c r="F7" s="20" t="n">
        <v>2</v>
      </c>
      <c r="G7" s="18" t="s">
        <v>111</v>
      </c>
      <c r="H7" s="21" t="n">
        <v>1800</v>
      </c>
      <c r="I7" s="22" t="n">
        <f aca="false">F7*H7</f>
        <v>3600</v>
      </c>
      <c r="J7" s="22" t="n">
        <f aca="false">I7/(1-'Overview &amp; Margins'!$C$9)</f>
        <v>6000</v>
      </c>
      <c r="K7" s="18"/>
    </row>
    <row r="8" customFormat="false" ht="15" hidden="false" customHeight="false" outlineLevel="0" collapsed="false">
      <c r="A8" s="18" t="s">
        <v>100</v>
      </c>
      <c r="B8" s="18" t="s">
        <v>101</v>
      </c>
      <c r="C8" s="18" t="s">
        <v>112</v>
      </c>
      <c r="D8" s="18" t="s">
        <v>113</v>
      </c>
      <c r="E8" s="19" t="s">
        <v>114</v>
      </c>
      <c r="F8" s="20" t="n">
        <v>1</v>
      </c>
      <c r="G8" s="18" t="s">
        <v>90</v>
      </c>
      <c r="H8" s="21" t="n">
        <v>8500</v>
      </c>
      <c r="I8" s="22" t="n">
        <f aca="false">F8*H8</f>
        <v>8500</v>
      </c>
      <c r="J8" s="22" t="n">
        <f aca="false">I8/(1-'Overview &amp; Margins'!$C$9)</f>
        <v>14166.6666666667</v>
      </c>
      <c r="K8" s="18"/>
    </row>
    <row r="9" customFormat="false" ht="28.35" hidden="false" customHeight="false" outlineLevel="0" collapsed="false">
      <c r="A9" s="18" t="s">
        <v>100</v>
      </c>
      <c r="B9" s="18" t="s">
        <v>101</v>
      </c>
      <c r="C9" s="18" t="s">
        <v>115</v>
      </c>
      <c r="D9" s="18" t="s">
        <v>116</v>
      </c>
      <c r="E9" s="19" t="s">
        <v>117</v>
      </c>
      <c r="F9" s="20" t="n">
        <v>1</v>
      </c>
      <c r="G9" s="18" t="s">
        <v>90</v>
      </c>
      <c r="H9" s="21" t="n">
        <v>3000</v>
      </c>
      <c r="I9" s="22" t="n">
        <f aca="false">F9*H9</f>
        <v>3000</v>
      </c>
      <c r="J9" s="22" t="n">
        <f aca="false">I9/(1-'Overview &amp; Margins'!$C$9)</f>
        <v>5000</v>
      </c>
      <c r="K9" s="18"/>
    </row>
    <row r="10" customFormat="false" ht="15" hidden="false" customHeight="false" outlineLevel="0" collapsed="false">
      <c r="A10" s="18" t="s">
        <v>100</v>
      </c>
      <c r="B10" s="18" t="s">
        <v>101</v>
      </c>
      <c r="C10" s="18" t="s">
        <v>118</v>
      </c>
      <c r="D10" s="18" t="s">
        <v>119</v>
      </c>
      <c r="E10" s="19" t="s">
        <v>120</v>
      </c>
      <c r="F10" s="20" t="n">
        <v>1</v>
      </c>
      <c r="G10" s="18" t="s">
        <v>90</v>
      </c>
      <c r="H10" s="21" t="n">
        <v>2200</v>
      </c>
      <c r="I10" s="22" t="n">
        <f aca="false">F10*H10</f>
        <v>2200</v>
      </c>
      <c r="J10" s="22" t="n">
        <f aca="false">I10/(1-'Overview &amp; Margins'!$C$9)</f>
        <v>3666.66666666667</v>
      </c>
      <c r="K10" s="18"/>
    </row>
    <row r="11" customFormat="false" ht="15" hidden="false" customHeight="false" outlineLevel="0" collapsed="false">
      <c r="A11" s="18" t="s">
        <v>100</v>
      </c>
      <c r="B11" s="18" t="s">
        <v>101</v>
      </c>
      <c r="C11" s="18" t="s">
        <v>121</v>
      </c>
      <c r="D11" s="18" t="s">
        <v>122</v>
      </c>
      <c r="E11" s="19" t="s">
        <v>123</v>
      </c>
      <c r="F11" s="20" t="n">
        <v>1</v>
      </c>
      <c r="G11" s="18" t="s">
        <v>90</v>
      </c>
      <c r="H11" s="21" t="n">
        <v>1800</v>
      </c>
      <c r="I11" s="22" t="n">
        <f aca="false">F11*H11</f>
        <v>1800</v>
      </c>
      <c r="J11" s="22" t="n">
        <f aca="false">I11/(1-'Overview &amp; Margins'!$C$9)</f>
        <v>3000</v>
      </c>
      <c r="K11" s="18"/>
    </row>
    <row r="12" customFormat="false" ht="28.35" hidden="false" customHeight="false" outlineLevel="0" collapsed="false">
      <c r="A12" s="18" t="s">
        <v>100</v>
      </c>
      <c r="B12" s="18" t="s">
        <v>101</v>
      </c>
      <c r="C12" s="18" t="s">
        <v>124</v>
      </c>
      <c r="D12" s="18" t="s">
        <v>125</v>
      </c>
      <c r="E12" s="19" t="s">
        <v>126</v>
      </c>
      <c r="F12" s="20" t="n">
        <v>1</v>
      </c>
      <c r="G12" s="18" t="s">
        <v>90</v>
      </c>
      <c r="H12" s="21" t="n">
        <v>1200</v>
      </c>
      <c r="I12" s="22" t="n">
        <f aca="false">F12*H12</f>
        <v>1200</v>
      </c>
      <c r="J12" s="22" t="n">
        <f aca="false">I12/(1-'Overview &amp; Margins'!$C$9)</f>
        <v>2000</v>
      </c>
      <c r="K12" s="18"/>
    </row>
    <row r="13" customFormat="false" ht="15" hidden="false" customHeight="false" outlineLevel="0" collapsed="false">
      <c r="A13" s="18" t="s">
        <v>100</v>
      </c>
      <c r="B13" s="18" t="s">
        <v>101</v>
      </c>
      <c r="C13" s="18" t="s">
        <v>127</v>
      </c>
      <c r="D13" s="18" t="s">
        <v>128</v>
      </c>
      <c r="E13" s="19" t="s">
        <v>129</v>
      </c>
      <c r="F13" s="20" t="n">
        <v>1</v>
      </c>
      <c r="G13" s="18" t="s">
        <v>90</v>
      </c>
      <c r="H13" s="21" t="n">
        <v>1500</v>
      </c>
      <c r="I13" s="22" t="n">
        <f aca="false">F13*H13</f>
        <v>1500</v>
      </c>
      <c r="J13" s="22" t="n">
        <f aca="false">I13/(1-'Overview &amp; Margins'!$C$9)</f>
        <v>2500</v>
      </c>
      <c r="K13" s="18"/>
    </row>
    <row r="14" customFormat="false" ht="28.35" hidden="false" customHeight="false" outlineLevel="0" collapsed="false">
      <c r="A14" s="18" t="s">
        <v>100</v>
      </c>
      <c r="B14" s="18" t="s">
        <v>130</v>
      </c>
      <c r="C14" s="18" t="s">
        <v>131</v>
      </c>
      <c r="D14" s="18" t="s">
        <v>132</v>
      </c>
      <c r="E14" s="19" t="s">
        <v>133</v>
      </c>
      <c r="F14" s="20" t="n">
        <v>1</v>
      </c>
      <c r="G14" s="18" t="s">
        <v>90</v>
      </c>
      <c r="H14" s="21" t="n">
        <v>4500</v>
      </c>
      <c r="I14" s="22" t="n">
        <f aca="false">F14*H14</f>
        <v>4500</v>
      </c>
      <c r="J14" s="22" t="n">
        <f aca="false">I14/(1-'Overview &amp; Margins'!$C$9)</f>
        <v>7500</v>
      </c>
      <c r="K14" s="18"/>
    </row>
    <row r="15" customFormat="false" ht="15" hidden="false" customHeight="false" outlineLevel="0" collapsed="false">
      <c r="A15" s="18" t="s">
        <v>100</v>
      </c>
      <c r="B15" s="18" t="s">
        <v>130</v>
      </c>
      <c r="C15" s="18" t="s">
        <v>134</v>
      </c>
      <c r="D15" s="18" t="s">
        <v>135</v>
      </c>
      <c r="E15" s="19" t="s">
        <v>136</v>
      </c>
      <c r="F15" s="20" t="n">
        <v>6</v>
      </c>
      <c r="G15" s="18" t="s">
        <v>137</v>
      </c>
      <c r="H15" s="21" t="n">
        <v>12000</v>
      </c>
      <c r="I15" s="22" t="n">
        <f aca="false">F15*H15</f>
        <v>72000</v>
      </c>
      <c r="J15" s="22" t="n">
        <f aca="false">I15/(1-'Overview &amp; Margins'!$C$9)</f>
        <v>120000</v>
      </c>
      <c r="K15" s="18"/>
    </row>
    <row r="16" customFormat="false" ht="15" hidden="false" customHeight="false" outlineLevel="0" collapsed="false">
      <c r="A16" s="18" t="s">
        <v>100</v>
      </c>
      <c r="B16" s="18" t="s">
        <v>130</v>
      </c>
      <c r="C16" s="18" t="s">
        <v>138</v>
      </c>
      <c r="D16" s="18" t="s">
        <v>139</v>
      </c>
      <c r="E16" s="19" t="s">
        <v>140</v>
      </c>
      <c r="F16" s="20" t="n">
        <v>160</v>
      </c>
      <c r="G16" s="18" t="s">
        <v>141</v>
      </c>
      <c r="H16" s="21" t="n">
        <v>45</v>
      </c>
      <c r="I16" s="22" t="n">
        <f aca="false">F16*H16</f>
        <v>7200</v>
      </c>
      <c r="J16" s="22" t="n">
        <f aca="false">I16/(1-'Overview &amp; Margins'!$C$9)</f>
        <v>12000</v>
      </c>
      <c r="K16" s="18"/>
    </row>
    <row r="17" customFormat="false" ht="15" hidden="false" customHeight="false" outlineLevel="0" collapsed="false">
      <c r="A17" s="18" t="s">
        <v>100</v>
      </c>
      <c r="B17" s="18" t="s">
        <v>130</v>
      </c>
      <c r="C17" s="18" t="s">
        <v>142</v>
      </c>
      <c r="D17" s="18" t="s">
        <v>143</v>
      </c>
      <c r="E17" s="19" t="s">
        <v>144</v>
      </c>
      <c r="F17" s="20" t="n">
        <v>6</v>
      </c>
      <c r="G17" s="18" t="s">
        <v>137</v>
      </c>
      <c r="H17" s="21" t="n">
        <v>250</v>
      </c>
      <c r="I17" s="22" t="n">
        <f aca="false">F17*H17</f>
        <v>1500</v>
      </c>
      <c r="J17" s="22" t="n">
        <f aca="false">I17/(1-'Overview &amp; Margins'!$C$9)</f>
        <v>2500</v>
      </c>
      <c r="K17" s="18"/>
    </row>
    <row r="18" customFormat="false" ht="15" hidden="false" customHeight="false" outlineLevel="0" collapsed="false">
      <c r="A18" s="18" t="s">
        <v>100</v>
      </c>
      <c r="B18" s="18" t="s">
        <v>130</v>
      </c>
      <c r="C18" s="18" t="s">
        <v>145</v>
      </c>
      <c r="D18" s="18" t="s">
        <v>146</v>
      </c>
      <c r="E18" s="19" t="s">
        <v>147</v>
      </c>
      <c r="F18" s="20" t="n">
        <v>1</v>
      </c>
      <c r="G18" s="18" t="s">
        <v>90</v>
      </c>
      <c r="H18" s="21" t="n">
        <v>3500</v>
      </c>
      <c r="I18" s="22" t="n">
        <f aca="false">F18*H18</f>
        <v>3500</v>
      </c>
      <c r="J18" s="22" t="n">
        <f aca="false">I18/(1-'Overview &amp; Margins'!$C$9)</f>
        <v>5833.33333333333</v>
      </c>
      <c r="K18" s="18"/>
    </row>
    <row r="19" customFormat="false" ht="15" hidden="false" customHeight="false" outlineLevel="0" collapsed="false">
      <c r="A19" s="18" t="s">
        <v>100</v>
      </c>
      <c r="B19" s="18" t="s">
        <v>130</v>
      </c>
      <c r="C19" s="18" t="s">
        <v>148</v>
      </c>
      <c r="D19" s="18" t="s">
        <v>149</v>
      </c>
      <c r="E19" s="19" t="s">
        <v>150</v>
      </c>
      <c r="F19" s="20" t="n">
        <v>1</v>
      </c>
      <c r="G19" s="18" t="s">
        <v>90</v>
      </c>
      <c r="H19" s="21" t="n">
        <v>2800</v>
      </c>
      <c r="I19" s="22" t="n">
        <f aca="false">F19*H19</f>
        <v>2800</v>
      </c>
      <c r="J19" s="22" t="n">
        <f aca="false">I19/(1-'Overview &amp; Margins'!$C$9)</f>
        <v>4666.66666666667</v>
      </c>
      <c r="K19" s="18"/>
    </row>
    <row r="20" customFormat="false" ht="15" hidden="false" customHeight="false" outlineLevel="0" collapsed="false">
      <c r="A20" s="18" t="s">
        <v>100</v>
      </c>
      <c r="B20" s="18" t="s">
        <v>130</v>
      </c>
      <c r="C20" s="18" t="s">
        <v>151</v>
      </c>
      <c r="D20" s="18" t="s">
        <v>152</v>
      </c>
      <c r="E20" s="19" t="s">
        <v>153</v>
      </c>
      <c r="F20" s="20" t="n">
        <v>3</v>
      </c>
      <c r="G20" s="18" t="s">
        <v>137</v>
      </c>
      <c r="H20" s="21" t="n">
        <v>2200</v>
      </c>
      <c r="I20" s="22" t="n">
        <f aca="false">F20*H20</f>
        <v>6600</v>
      </c>
      <c r="J20" s="22" t="n">
        <f aca="false">I20/(1-'Overview &amp; Margins'!$C$9)</f>
        <v>11000</v>
      </c>
      <c r="K20" s="18"/>
    </row>
    <row r="21" customFormat="false" ht="15" hidden="false" customHeight="false" outlineLevel="0" collapsed="false">
      <c r="A21" s="18" t="s">
        <v>100</v>
      </c>
      <c r="B21" s="18" t="s">
        <v>130</v>
      </c>
      <c r="C21" s="18" t="s">
        <v>154</v>
      </c>
      <c r="D21" s="18" t="s">
        <v>155</v>
      </c>
      <c r="E21" s="19" t="s">
        <v>156</v>
      </c>
      <c r="F21" s="20" t="n">
        <v>1</v>
      </c>
      <c r="G21" s="18" t="s">
        <v>157</v>
      </c>
      <c r="H21" s="21" t="n">
        <v>2800</v>
      </c>
      <c r="I21" s="22" t="n">
        <f aca="false">F21*H21</f>
        <v>2800</v>
      </c>
      <c r="J21" s="22" t="n">
        <f aca="false">I21/(1-'Overview &amp; Margins'!$C$9)</f>
        <v>4666.66666666667</v>
      </c>
      <c r="K21" s="18"/>
    </row>
    <row r="22" customFormat="false" ht="15" hidden="false" customHeight="false" outlineLevel="0" collapsed="false">
      <c r="A22" s="18" t="s">
        <v>100</v>
      </c>
      <c r="B22" s="18" t="s">
        <v>130</v>
      </c>
      <c r="C22" s="18" t="s">
        <v>158</v>
      </c>
      <c r="D22" s="18" t="s">
        <v>159</v>
      </c>
      <c r="E22" s="19" t="s">
        <v>160</v>
      </c>
      <c r="F22" s="20" t="n">
        <v>4</v>
      </c>
      <c r="G22" s="18" t="s">
        <v>137</v>
      </c>
      <c r="H22" s="21" t="n">
        <v>1500</v>
      </c>
      <c r="I22" s="22" t="n">
        <f aca="false">F22*H22</f>
        <v>6000</v>
      </c>
      <c r="J22" s="22" t="n">
        <f aca="false">I22/(1-'Overview &amp; Margins'!$C$9)</f>
        <v>10000</v>
      </c>
      <c r="K22" s="18"/>
    </row>
    <row r="23" customFormat="false" ht="15" hidden="false" customHeight="false" outlineLevel="0" collapsed="false">
      <c r="A23" s="18" t="s">
        <v>100</v>
      </c>
      <c r="B23" s="18" t="s">
        <v>130</v>
      </c>
      <c r="C23" s="18" t="s">
        <v>161</v>
      </c>
      <c r="D23" s="18" t="s">
        <v>162</v>
      </c>
      <c r="E23" s="19" t="s">
        <v>163</v>
      </c>
      <c r="F23" s="20" t="n">
        <v>6</v>
      </c>
      <c r="G23" s="18" t="s">
        <v>137</v>
      </c>
      <c r="H23" s="21" t="n">
        <v>1800</v>
      </c>
      <c r="I23" s="22" t="n">
        <f aca="false">F23*H23</f>
        <v>10800</v>
      </c>
      <c r="J23" s="22" t="n">
        <f aca="false">I23/(1-'Overview &amp; Margins'!$C$9)</f>
        <v>18000</v>
      </c>
      <c r="K23" s="18"/>
    </row>
    <row r="24" customFormat="false" ht="15" hidden="false" customHeight="false" outlineLevel="0" collapsed="false">
      <c r="A24" s="18" t="s">
        <v>100</v>
      </c>
      <c r="B24" s="18" t="s">
        <v>130</v>
      </c>
      <c r="C24" s="18" t="s">
        <v>164</v>
      </c>
      <c r="D24" s="18" t="s">
        <v>165</v>
      </c>
      <c r="E24" s="19" t="s">
        <v>166</v>
      </c>
      <c r="F24" s="20" t="n">
        <v>1</v>
      </c>
      <c r="G24" s="18" t="s">
        <v>90</v>
      </c>
      <c r="H24" s="21" t="n">
        <v>8000</v>
      </c>
      <c r="I24" s="22" t="n">
        <f aca="false">F24*H24</f>
        <v>8000</v>
      </c>
      <c r="J24" s="22" t="n">
        <f aca="false">I24/(1-'Overview &amp; Margins'!$C$9)</f>
        <v>13333.3333333333</v>
      </c>
      <c r="K24" s="18"/>
    </row>
    <row r="25" customFormat="false" ht="15" hidden="false" customHeight="false" outlineLevel="0" collapsed="false">
      <c r="A25" s="18" t="s">
        <v>100</v>
      </c>
      <c r="B25" s="18" t="s">
        <v>130</v>
      </c>
      <c r="C25" s="18" t="s">
        <v>167</v>
      </c>
      <c r="D25" s="18" t="s">
        <v>168</v>
      </c>
      <c r="E25" s="19" t="s">
        <v>169</v>
      </c>
      <c r="F25" s="20" t="n">
        <v>1</v>
      </c>
      <c r="G25" s="18" t="s">
        <v>90</v>
      </c>
      <c r="H25" s="21" t="n">
        <v>3500</v>
      </c>
      <c r="I25" s="22" t="n">
        <f aca="false">F25*H25</f>
        <v>3500</v>
      </c>
      <c r="J25" s="22" t="n">
        <f aca="false">I25/(1-'Overview &amp; Margins'!$C$9)</f>
        <v>5833.33333333333</v>
      </c>
      <c r="K25" s="18"/>
    </row>
    <row r="26" customFormat="false" ht="15" hidden="false" customHeight="false" outlineLevel="0" collapsed="false">
      <c r="A26" s="18" t="s">
        <v>100</v>
      </c>
      <c r="B26" s="18" t="s">
        <v>130</v>
      </c>
      <c r="C26" s="18" t="s">
        <v>170</v>
      </c>
      <c r="D26" s="18" t="s">
        <v>171</v>
      </c>
      <c r="E26" s="19" t="s">
        <v>172</v>
      </c>
      <c r="F26" s="20" t="n">
        <v>1</v>
      </c>
      <c r="G26" s="18" t="s">
        <v>111</v>
      </c>
      <c r="H26" s="21" t="n">
        <v>450</v>
      </c>
      <c r="I26" s="22" t="n">
        <f aca="false">F26*H26</f>
        <v>450</v>
      </c>
      <c r="J26" s="22" t="n">
        <f aca="false">I26/(1-'Overview &amp; Margins'!$C$9)</f>
        <v>750</v>
      </c>
      <c r="K26" s="18"/>
    </row>
    <row r="27" customFormat="false" ht="28.35" hidden="false" customHeight="false" outlineLevel="0" collapsed="false">
      <c r="A27" s="18" t="s">
        <v>100</v>
      </c>
      <c r="B27" s="18" t="s">
        <v>130</v>
      </c>
      <c r="C27" s="18" t="s">
        <v>173</v>
      </c>
      <c r="D27" s="18" t="s">
        <v>174</v>
      </c>
      <c r="E27" s="19" t="s">
        <v>175</v>
      </c>
      <c r="F27" s="20" t="n">
        <v>1</v>
      </c>
      <c r="G27" s="18" t="s">
        <v>90</v>
      </c>
      <c r="H27" s="21" t="n">
        <v>3000</v>
      </c>
      <c r="I27" s="22" t="n">
        <f aca="false">F27*H27</f>
        <v>3000</v>
      </c>
      <c r="J27" s="22" t="n">
        <f aca="false">I27/(1-'Overview &amp; Margins'!$C$9)</f>
        <v>5000</v>
      </c>
      <c r="K27" s="18"/>
    </row>
    <row r="28" customFormat="false" ht="15" hidden="false" customHeight="false" outlineLevel="0" collapsed="false">
      <c r="A28" s="18" t="s">
        <v>100</v>
      </c>
      <c r="B28" s="18" t="s">
        <v>130</v>
      </c>
      <c r="C28" s="18" t="s">
        <v>176</v>
      </c>
      <c r="D28" s="18" t="s">
        <v>177</v>
      </c>
      <c r="E28" s="19" t="s">
        <v>178</v>
      </c>
      <c r="F28" s="20" t="n">
        <v>1</v>
      </c>
      <c r="G28" s="18" t="s">
        <v>90</v>
      </c>
      <c r="H28" s="21" t="n">
        <v>1200</v>
      </c>
      <c r="I28" s="22" t="n">
        <f aca="false">F28*H28</f>
        <v>1200</v>
      </c>
      <c r="J28" s="22" t="n">
        <f aca="false">I28/(1-'Overview &amp; Margins'!$C$9)</f>
        <v>2000</v>
      </c>
      <c r="K28" s="18"/>
    </row>
    <row r="29" customFormat="false" ht="15" hidden="false" customHeight="false" outlineLevel="0" collapsed="false">
      <c r="A29" s="18" t="s">
        <v>100</v>
      </c>
      <c r="B29" s="18" t="s">
        <v>130</v>
      </c>
      <c r="C29" s="18" t="s">
        <v>179</v>
      </c>
      <c r="D29" s="18" t="s">
        <v>180</v>
      </c>
      <c r="E29" s="19" t="s">
        <v>181</v>
      </c>
      <c r="F29" s="20" t="n">
        <v>1</v>
      </c>
      <c r="G29" s="18" t="s">
        <v>90</v>
      </c>
      <c r="H29" s="21" t="n">
        <v>900</v>
      </c>
      <c r="I29" s="22" t="n">
        <f aca="false">F29*H29</f>
        <v>900</v>
      </c>
      <c r="J29" s="22" t="n">
        <f aca="false">I29/(1-'Overview &amp; Margins'!$C$9)</f>
        <v>1500</v>
      </c>
      <c r="K29" s="18"/>
    </row>
    <row r="30" customFormat="false" ht="28.35" hidden="false" customHeight="false" outlineLevel="0" collapsed="false">
      <c r="A30" s="18" t="s">
        <v>100</v>
      </c>
      <c r="B30" s="18" t="s">
        <v>182</v>
      </c>
      <c r="C30" s="18" t="s">
        <v>183</v>
      </c>
      <c r="D30" s="18" t="s">
        <v>184</v>
      </c>
      <c r="E30" s="19" t="s">
        <v>185</v>
      </c>
      <c r="F30" s="20" t="n">
        <v>1</v>
      </c>
      <c r="G30" s="18" t="s">
        <v>90</v>
      </c>
      <c r="H30" s="21" t="n">
        <v>8000</v>
      </c>
      <c r="I30" s="22" t="n">
        <f aca="false">F30*H30</f>
        <v>8000</v>
      </c>
      <c r="J30" s="22" t="n">
        <f aca="false">I30/(1-'Overview &amp; Margins'!$C$9)</f>
        <v>13333.3333333333</v>
      </c>
      <c r="K30" s="18" t="s">
        <v>186</v>
      </c>
    </row>
    <row r="31" customFormat="false" ht="28.35" hidden="false" customHeight="false" outlineLevel="0" collapsed="false">
      <c r="A31" s="18" t="s">
        <v>100</v>
      </c>
      <c r="B31" s="18" t="s">
        <v>182</v>
      </c>
      <c r="C31" s="18" t="s">
        <v>187</v>
      </c>
      <c r="D31" s="18" t="s">
        <v>188</v>
      </c>
      <c r="E31" s="19" t="s">
        <v>189</v>
      </c>
      <c r="F31" s="20" t="n">
        <v>1300</v>
      </c>
      <c r="G31" s="18" t="s">
        <v>190</v>
      </c>
      <c r="H31" s="21" t="n">
        <v>12</v>
      </c>
      <c r="I31" s="22" t="n">
        <f aca="false">F31*H31</f>
        <v>15600</v>
      </c>
      <c r="J31" s="22" t="n">
        <f aca="false">I31/(1-'Overview &amp; Margins'!$C$9)</f>
        <v>26000</v>
      </c>
      <c r="K31" s="18"/>
    </row>
    <row r="32" customFormat="false" ht="15" hidden="false" customHeight="false" outlineLevel="0" collapsed="false">
      <c r="A32" s="18" t="s">
        <v>100</v>
      </c>
      <c r="B32" s="18" t="s">
        <v>182</v>
      </c>
      <c r="C32" s="18" t="s">
        <v>191</v>
      </c>
      <c r="D32" s="18" t="s">
        <v>192</v>
      </c>
      <c r="E32" s="19" t="s">
        <v>193</v>
      </c>
      <c r="F32" s="20" t="n">
        <v>1</v>
      </c>
      <c r="G32" s="18" t="s">
        <v>90</v>
      </c>
      <c r="H32" s="21" t="n">
        <v>12000</v>
      </c>
      <c r="I32" s="22" t="n">
        <f aca="false">F32*H32</f>
        <v>12000</v>
      </c>
      <c r="J32" s="22" t="n">
        <f aca="false">I32/(1-'Overview &amp; Margins'!$C$9)</f>
        <v>20000</v>
      </c>
      <c r="K32" s="18"/>
    </row>
    <row r="33" customFormat="false" ht="28.35" hidden="false" customHeight="false" outlineLevel="0" collapsed="false">
      <c r="A33" s="18" t="s">
        <v>100</v>
      </c>
      <c r="B33" s="18" t="s">
        <v>194</v>
      </c>
      <c r="C33" s="18" t="s">
        <v>195</v>
      </c>
      <c r="D33" s="18" t="s">
        <v>196</v>
      </c>
      <c r="E33" s="19" t="s">
        <v>197</v>
      </c>
      <c r="F33" s="20" t="n">
        <v>600</v>
      </c>
      <c r="G33" s="18" t="s">
        <v>198</v>
      </c>
      <c r="H33" s="21" t="n">
        <v>22</v>
      </c>
      <c r="I33" s="22" t="n">
        <f aca="false">F33*H33</f>
        <v>13200</v>
      </c>
      <c r="J33" s="22" t="n">
        <f aca="false">I33/(1-'Overview &amp; Margins'!$C$9)</f>
        <v>22000</v>
      </c>
      <c r="K33" s="18"/>
    </row>
    <row r="34" customFormat="false" ht="15" hidden="false" customHeight="false" outlineLevel="0" collapsed="false">
      <c r="A34" s="18" t="s">
        <v>100</v>
      </c>
      <c r="B34" s="18" t="s">
        <v>194</v>
      </c>
      <c r="C34" s="18" t="s">
        <v>199</v>
      </c>
      <c r="D34" s="18" t="s">
        <v>200</v>
      </c>
      <c r="E34" s="19" t="s">
        <v>201</v>
      </c>
      <c r="F34" s="20" t="n">
        <v>190</v>
      </c>
      <c r="G34" s="18" t="s">
        <v>198</v>
      </c>
      <c r="H34" s="21" t="n">
        <v>28</v>
      </c>
      <c r="I34" s="22" t="n">
        <f aca="false">F34*H34</f>
        <v>5320</v>
      </c>
      <c r="J34" s="22" t="n">
        <f aca="false">I34/(1-'Overview &amp; Margins'!$C$9)</f>
        <v>8866.66666666667</v>
      </c>
      <c r="K34" s="18"/>
    </row>
    <row r="35" customFormat="false" ht="15" hidden="false" customHeight="false" outlineLevel="0" collapsed="false">
      <c r="A35" s="18" t="s">
        <v>100</v>
      </c>
      <c r="B35" s="18" t="s">
        <v>194</v>
      </c>
      <c r="C35" s="18" t="s">
        <v>202</v>
      </c>
      <c r="D35" s="18" t="s">
        <v>203</v>
      </c>
      <c r="E35" s="19" t="s">
        <v>204</v>
      </c>
      <c r="F35" s="20" t="n">
        <v>50</v>
      </c>
      <c r="G35" s="18" t="s">
        <v>141</v>
      </c>
      <c r="H35" s="21" t="n">
        <v>85</v>
      </c>
      <c r="I35" s="22" t="n">
        <f aca="false">F35*H35</f>
        <v>4250</v>
      </c>
      <c r="J35" s="22" t="n">
        <f aca="false">I35/(1-'Overview &amp; Margins'!$C$9)</f>
        <v>7083.33333333333</v>
      </c>
      <c r="K35" s="18"/>
    </row>
    <row r="36" customFormat="false" ht="15" hidden="false" customHeight="false" outlineLevel="0" collapsed="false">
      <c r="A36" s="18" t="s">
        <v>100</v>
      </c>
      <c r="B36" s="18" t="s">
        <v>194</v>
      </c>
      <c r="C36" s="18" t="s">
        <v>205</v>
      </c>
      <c r="D36" s="18" t="s">
        <v>206</v>
      </c>
      <c r="E36" s="19" t="s">
        <v>207</v>
      </c>
      <c r="F36" s="20" t="n">
        <v>2500</v>
      </c>
      <c r="G36" s="18" t="s">
        <v>190</v>
      </c>
      <c r="H36" s="21" t="n">
        <v>5</v>
      </c>
      <c r="I36" s="22" t="n">
        <f aca="false">F36*H36</f>
        <v>12500</v>
      </c>
      <c r="J36" s="22" t="n">
        <f aca="false">I36/(1-'Overview &amp; Margins'!$C$9)</f>
        <v>20833.3333333333</v>
      </c>
      <c r="K36" s="18"/>
    </row>
    <row r="37" customFormat="false" ht="15" hidden="false" customHeight="false" outlineLevel="0" collapsed="false">
      <c r="A37" s="18" t="s">
        <v>100</v>
      </c>
      <c r="B37" s="18" t="s">
        <v>208</v>
      </c>
      <c r="C37" s="18" t="s">
        <v>209</v>
      </c>
      <c r="D37" s="18" t="s">
        <v>210</v>
      </c>
      <c r="E37" s="19" t="s">
        <v>211</v>
      </c>
      <c r="F37" s="20" t="n">
        <v>314</v>
      </c>
      <c r="G37" s="18" t="s">
        <v>141</v>
      </c>
      <c r="H37" s="21" t="n">
        <v>70</v>
      </c>
      <c r="I37" s="22" t="n">
        <f aca="false">F37*H37</f>
        <v>21980</v>
      </c>
      <c r="J37" s="22" t="n">
        <f aca="false">I37/(1-'Overview &amp; Margins'!$C$9)</f>
        <v>36633.3333333333</v>
      </c>
      <c r="K37" s="18"/>
    </row>
    <row r="38" customFormat="false" ht="15" hidden="false" customHeight="false" outlineLevel="0" collapsed="false">
      <c r="A38" s="18" t="s">
        <v>100</v>
      </c>
      <c r="B38" s="18" t="s">
        <v>208</v>
      </c>
      <c r="C38" s="18" t="s">
        <v>212</v>
      </c>
      <c r="D38" s="18" t="s">
        <v>213</v>
      </c>
      <c r="E38" s="19" t="s">
        <v>214</v>
      </c>
      <c r="F38" s="20" t="n">
        <v>1360</v>
      </c>
      <c r="G38" s="18" t="s">
        <v>190</v>
      </c>
      <c r="H38" s="21" t="n">
        <v>12</v>
      </c>
      <c r="I38" s="22" t="n">
        <f aca="false">F38*H38</f>
        <v>16320</v>
      </c>
      <c r="J38" s="22" t="n">
        <f aca="false">I38/(1-'Overview &amp; Margins'!$C$9)</f>
        <v>27200</v>
      </c>
      <c r="K38" s="18"/>
    </row>
    <row r="39" customFormat="false" ht="15" hidden="false" customHeight="false" outlineLevel="0" collapsed="false">
      <c r="A39" s="18" t="s">
        <v>100</v>
      </c>
      <c r="B39" s="18" t="s">
        <v>208</v>
      </c>
      <c r="C39" s="18" t="s">
        <v>215</v>
      </c>
      <c r="D39" s="18" t="s">
        <v>216</v>
      </c>
      <c r="E39" s="19" t="s">
        <v>217</v>
      </c>
      <c r="F39" s="20" t="n">
        <v>181</v>
      </c>
      <c r="G39" s="18" t="s">
        <v>141</v>
      </c>
      <c r="H39" s="21" t="n">
        <v>28</v>
      </c>
      <c r="I39" s="22" t="n">
        <f aca="false">F39*H39</f>
        <v>5068</v>
      </c>
      <c r="J39" s="22" t="n">
        <f aca="false">I39/(1-'Overview &amp; Margins'!$C$9)</f>
        <v>8446.66666666667</v>
      </c>
      <c r="K39" s="18"/>
    </row>
    <row r="40" customFormat="false" ht="15" hidden="false" customHeight="false" outlineLevel="0" collapsed="false">
      <c r="A40" s="18" t="s">
        <v>100</v>
      </c>
      <c r="B40" s="18" t="s">
        <v>208</v>
      </c>
      <c r="C40" s="18" t="s">
        <v>218</v>
      </c>
      <c r="D40" s="18" t="s">
        <v>219</v>
      </c>
      <c r="E40" s="19" t="s">
        <v>220</v>
      </c>
      <c r="F40" s="20" t="n">
        <v>90</v>
      </c>
      <c r="G40" s="18" t="s">
        <v>221</v>
      </c>
      <c r="H40" s="21" t="n">
        <v>48</v>
      </c>
      <c r="I40" s="22" t="n">
        <f aca="false">F40*H40</f>
        <v>4320</v>
      </c>
      <c r="J40" s="22" t="n">
        <f aca="false">I40/(1-'Overview &amp; Margins'!$C$9)</f>
        <v>7200</v>
      </c>
      <c r="K40" s="18"/>
    </row>
    <row r="41" customFormat="false" ht="28.35" hidden="false" customHeight="false" outlineLevel="0" collapsed="false">
      <c r="A41" s="18" t="s">
        <v>100</v>
      </c>
      <c r="B41" s="18" t="s">
        <v>208</v>
      </c>
      <c r="C41" s="18" t="s">
        <v>222</v>
      </c>
      <c r="D41" s="18" t="s">
        <v>223</v>
      </c>
      <c r="E41" s="19" t="s">
        <v>224</v>
      </c>
      <c r="F41" s="20" t="n">
        <v>181</v>
      </c>
      <c r="G41" s="18" t="s">
        <v>141</v>
      </c>
      <c r="H41" s="21" t="n">
        <v>150</v>
      </c>
      <c r="I41" s="22" t="n">
        <f aca="false">F41*H41</f>
        <v>27150</v>
      </c>
      <c r="J41" s="22" t="n">
        <f aca="false">I41/(1-'Overview &amp; Margins'!$C$9)</f>
        <v>45250</v>
      </c>
      <c r="K41" s="18"/>
    </row>
    <row r="42" customFormat="false" ht="15" hidden="false" customHeight="false" outlineLevel="0" collapsed="false">
      <c r="A42" s="18" t="s">
        <v>100</v>
      </c>
      <c r="B42" s="18" t="s">
        <v>208</v>
      </c>
      <c r="C42" s="18" t="s">
        <v>222</v>
      </c>
      <c r="D42" s="18" t="s">
        <v>223</v>
      </c>
      <c r="E42" s="19" t="s">
        <v>225</v>
      </c>
      <c r="F42" s="20" t="n">
        <v>113</v>
      </c>
      <c r="G42" s="18" t="s">
        <v>141</v>
      </c>
      <c r="H42" s="21" t="n">
        <v>150</v>
      </c>
      <c r="I42" s="22" t="n">
        <f aca="false">F42*H42</f>
        <v>16950</v>
      </c>
      <c r="J42" s="22" t="n">
        <f aca="false">I42/(1-'Overview &amp; Margins'!$C$9)</f>
        <v>28250</v>
      </c>
      <c r="K42" s="18"/>
    </row>
    <row r="43" customFormat="false" ht="15" hidden="false" customHeight="false" outlineLevel="0" collapsed="false">
      <c r="A43" s="18" t="s">
        <v>100</v>
      </c>
      <c r="B43" s="18" t="s">
        <v>208</v>
      </c>
      <c r="C43" s="18" t="s">
        <v>226</v>
      </c>
      <c r="D43" s="18" t="s">
        <v>227</v>
      </c>
      <c r="E43" s="19" t="s">
        <v>228</v>
      </c>
      <c r="F43" s="20" t="n">
        <v>100</v>
      </c>
      <c r="G43" s="18" t="s">
        <v>198</v>
      </c>
      <c r="H43" s="21" t="n">
        <v>22</v>
      </c>
      <c r="I43" s="22" t="n">
        <f aca="false">F43*H43</f>
        <v>2200</v>
      </c>
      <c r="J43" s="22" t="n">
        <f aca="false">I43/(1-'Overview &amp; Margins'!$C$9)</f>
        <v>3666.66666666667</v>
      </c>
      <c r="K43" s="18"/>
    </row>
    <row r="44" customFormat="false" ht="28.35" hidden="false" customHeight="false" outlineLevel="0" collapsed="false">
      <c r="A44" s="18" t="s">
        <v>100</v>
      </c>
      <c r="B44" s="18" t="s">
        <v>229</v>
      </c>
      <c r="C44" s="18" t="s">
        <v>230</v>
      </c>
      <c r="D44" s="18" t="s">
        <v>231</v>
      </c>
      <c r="E44" s="19" t="s">
        <v>232</v>
      </c>
      <c r="F44" s="20" t="n">
        <v>1460</v>
      </c>
      <c r="G44" s="18" t="s">
        <v>190</v>
      </c>
      <c r="H44" s="21" t="n">
        <v>12</v>
      </c>
      <c r="I44" s="22" t="n">
        <f aca="false">F44*H44</f>
        <v>17520</v>
      </c>
      <c r="J44" s="22" t="n">
        <f aca="false">I44/(1-'Overview &amp; Margins'!$C$9)</f>
        <v>29200</v>
      </c>
      <c r="K44" s="18"/>
    </row>
    <row r="45" customFormat="false" ht="15" hidden="false" customHeight="false" outlineLevel="0" collapsed="false">
      <c r="A45" s="18" t="s">
        <v>100</v>
      </c>
      <c r="B45" s="18" t="s">
        <v>229</v>
      </c>
      <c r="C45" s="18" t="s">
        <v>230</v>
      </c>
      <c r="D45" s="18" t="s">
        <v>231</v>
      </c>
      <c r="E45" s="19" t="s">
        <v>233</v>
      </c>
      <c r="F45" s="20" t="n">
        <v>548</v>
      </c>
      <c r="G45" s="18" t="s">
        <v>190</v>
      </c>
      <c r="H45" s="21" t="n">
        <v>12</v>
      </c>
      <c r="I45" s="22" t="n">
        <f aca="false">F45*H45</f>
        <v>6576</v>
      </c>
      <c r="J45" s="22" t="n">
        <f aca="false">I45/(1-'Overview &amp; Margins'!$C$9)</f>
        <v>10960</v>
      </c>
      <c r="K45" s="18"/>
    </row>
    <row r="46" customFormat="false" ht="15" hidden="false" customHeight="false" outlineLevel="0" collapsed="false">
      <c r="A46" s="18" t="s">
        <v>100</v>
      </c>
      <c r="B46" s="18" t="s">
        <v>229</v>
      </c>
      <c r="C46" s="18" t="s">
        <v>234</v>
      </c>
      <c r="D46" s="18" t="s">
        <v>235</v>
      </c>
      <c r="E46" s="19" t="s">
        <v>236</v>
      </c>
      <c r="F46" s="20" t="n">
        <v>264</v>
      </c>
      <c r="G46" s="18" t="s">
        <v>190</v>
      </c>
      <c r="H46" s="21" t="n">
        <v>22</v>
      </c>
      <c r="I46" s="22" t="n">
        <f aca="false">F46*H46</f>
        <v>5808</v>
      </c>
      <c r="J46" s="22" t="n">
        <f aca="false">I46/(1-'Overview &amp; Margins'!$C$9)</f>
        <v>9680</v>
      </c>
      <c r="K46" s="18"/>
    </row>
    <row r="47" customFormat="false" ht="28.35" hidden="false" customHeight="false" outlineLevel="0" collapsed="false">
      <c r="A47" s="18" t="s">
        <v>100</v>
      </c>
      <c r="B47" s="18" t="s">
        <v>237</v>
      </c>
      <c r="C47" s="18" t="s">
        <v>238</v>
      </c>
      <c r="D47" s="18" t="s">
        <v>239</v>
      </c>
      <c r="E47" s="19" t="s">
        <v>240</v>
      </c>
      <c r="F47" s="20" t="n">
        <v>3478</v>
      </c>
      <c r="G47" s="18" t="s">
        <v>190</v>
      </c>
      <c r="H47" s="21" t="n">
        <v>20</v>
      </c>
      <c r="I47" s="22" t="n">
        <f aca="false">F47*H47</f>
        <v>69560</v>
      </c>
      <c r="J47" s="22" t="n">
        <f aca="false">I47/(1-'Overview &amp; Margins'!$C$9)</f>
        <v>115933.333333333</v>
      </c>
      <c r="K47" s="18" t="s">
        <v>241</v>
      </c>
    </row>
    <row r="48" customFormat="false" ht="15" hidden="false" customHeight="false" outlineLevel="0" collapsed="false">
      <c r="A48" s="18" t="s">
        <v>100</v>
      </c>
      <c r="B48" s="18" t="s">
        <v>237</v>
      </c>
      <c r="C48" s="18" t="s">
        <v>242</v>
      </c>
      <c r="D48" s="18" t="s">
        <v>243</v>
      </c>
      <c r="E48" s="19" t="s">
        <v>244</v>
      </c>
      <c r="F48" s="20" t="n">
        <v>3478</v>
      </c>
      <c r="G48" s="18" t="s">
        <v>190</v>
      </c>
      <c r="H48" s="21" t="n">
        <v>18</v>
      </c>
      <c r="I48" s="22" t="n">
        <f aca="false">F48*H48</f>
        <v>62604</v>
      </c>
      <c r="J48" s="22" t="n">
        <f aca="false">I48/(1-'Overview &amp; Margins'!$C$9)</f>
        <v>104340</v>
      </c>
      <c r="K48" s="18" t="s">
        <v>241</v>
      </c>
    </row>
    <row r="49" customFormat="false" ht="28.35" hidden="false" customHeight="false" outlineLevel="0" collapsed="false">
      <c r="A49" s="18" t="s">
        <v>100</v>
      </c>
      <c r="B49" s="18" t="s">
        <v>237</v>
      </c>
      <c r="C49" s="18" t="s">
        <v>245</v>
      </c>
      <c r="D49" s="18" t="s">
        <v>246</v>
      </c>
      <c r="E49" s="19" t="s">
        <v>247</v>
      </c>
      <c r="F49" s="20" t="n">
        <v>7</v>
      </c>
      <c r="G49" s="18" t="s">
        <v>111</v>
      </c>
      <c r="H49" s="21" t="n">
        <v>4500</v>
      </c>
      <c r="I49" s="22" t="n">
        <f aca="false">F49*H49</f>
        <v>31500</v>
      </c>
      <c r="J49" s="22" t="n">
        <f aca="false">I49/(1-'Overview &amp; Margins'!$C$9)</f>
        <v>52500</v>
      </c>
      <c r="K49" s="18"/>
    </row>
    <row r="50" customFormat="false" ht="15" hidden="false" customHeight="false" outlineLevel="0" collapsed="false">
      <c r="A50" s="18" t="s">
        <v>100</v>
      </c>
      <c r="B50" s="18" t="s">
        <v>237</v>
      </c>
      <c r="C50" s="18" t="s">
        <v>248</v>
      </c>
      <c r="D50" s="18" t="s">
        <v>249</v>
      </c>
      <c r="E50" s="19" t="s">
        <v>250</v>
      </c>
      <c r="F50" s="20" t="n">
        <v>5</v>
      </c>
      <c r="G50" s="18" t="s">
        <v>111</v>
      </c>
      <c r="H50" s="21" t="n">
        <v>1200</v>
      </c>
      <c r="I50" s="22" t="n">
        <f aca="false">F50*H50</f>
        <v>6000</v>
      </c>
      <c r="J50" s="22" t="n">
        <f aca="false">I50/(1-'Overview &amp; Margins'!$C$9)</f>
        <v>10000</v>
      </c>
      <c r="K50" s="18"/>
    </row>
    <row r="51" customFormat="false" ht="15" hidden="false" customHeight="false" outlineLevel="0" collapsed="false">
      <c r="A51" s="18" t="s">
        <v>100</v>
      </c>
      <c r="B51" s="18" t="s">
        <v>237</v>
      </c>
      <c r="C51" s="18" t="s">
        <v>251</v>
      </c>
      <c r="D51" s="18" t="s">
        <v>252</v>
      </c>
      <c r="E51" s="19" t="s">
        <v>253</v>
      </c>
      <c r="F51" s="20" t="n">
        <v>2930</v>
      </c>
      <c r="G51" s="18" t="s">
        <v>190</v>
      </c>
      <c r="H51" s="21" t="n">
        <v>4</v>
      </c>
      <c r="I51" s="22" t="n">
        <f aca="false">F51*H51</f>
        <v>11720</v>
      </c>
      <c r="J51" s="22" t="n">
        <f aca="false">I51/(1-'Overview &amp; Margins'!$C$9)</f>
        <v>19533.3333333333</v>
      </c>
      <c r="K51" s="18"/>
    </row>
    <row r="52" customFormat="false" ht="28.35" hidden="false" customHeight="false" outlineLevel="0" collapsed="false">
      <c r="A52" s="18" t="s">
        <v>100</v>
      </c>
      <c r="B52" s="18" t="s">
        <v>254</v>
      </c>
      <c r="C52" s="18" t="s">
        <v>255</v>
      </c>
      <c r="D52" s="18" t="s">
        <v>256</v>
      </c>
      <c r="E52" s="19" t="s">
        <v>257</v>
      </c>
      <c r="F52" s="20" t="n">
        <v>1850</v>
      </c>
      <c r="G52" s="18" t="s">
        <v>190</v>
      </c>
      <c r="H52" s="21" t="n">
        <v>8</v>
      </c>
      <c r="I52" s="22" t="n">
        <f aca="false">F52*H52</f>
        <v>14800</v>
      </c>
      <c r="J52" s="22" t="n">
        <f aca="false">I52/(1-'Overview &amp; Margins'!$C$9)</f>
        <v>24666.6666666667</v>
      </c>
      <c r="K52" s="18"/>
    </row>
    <row r="53" customFormat="false" ht="28.35" hidden="false" customHeight="false" outlineLevel="0" collapsed="false">
      <c r="A53" s="18" t="s">
        <v>100</v>
      </c>
      <c r="B53" s="18" t="s">
        <v>254</v>
      </c>
      <c r="C53" s="18" t="s">
        <v>258</v>
      </c>
      <c r="D53" s="18" t="s">
        <v>259</v>
      </c>
      <c r="E53" s="19" t="s">
        <v>260</v>
      </c>
      <c r="F53" s="20" t="n">
        <v>950</v>
      </c>
      <c r="G53" s="18" t="s">
        <v>190</v>
      </c>
      <c r="H53" s="21" t="n">
        <v>12</v>
      </c>
      <c r="I53" s="22" t="n">
        <f aca="false">F53*H53</f>
        <v>11400</v>
      </c>
      <c r="J53" s="22" t="n">
        <f aca="false">I53/(1-'Overview &amp; Margins'!$C$9)</f>
        <v>19000</v>
      </c>
      <c r="K53" s="18"/>
    </row>
    <row r="54" customFormat="false" ht="15" hidden="false" customHeight="false" outlineLevel="0" collapsed="false">
      <c r="A54" s="18" t="s">
        <v>100</v>
      </c>
      <c r="B54" s="18" t="s">
        <v>254</v>
      </c>
      <c r="C54" s="18" t="s">
        <v>261</v>
      </c>
      <c r="D54" s="18" t="s">
        <v>262</v>
      </c>
      <c r="E54" s="19" t="s">
        <v>263</v>
      </c>
      <c r="F54" s="20" t="n">
        <v>165</v>
      </c>
      <c r="G54" s="18" t="s">
        <v>141</v>
      </c>
      <c r="H54" s="21" t="n">
        <v>45</v>
      </c>
      <c r="I54" s="22" t="n">
        <f aca="false">F54*H54</f>
        <v>7425</v>
      </c>
      <c r="J54" s="22" t="n">
        <f aca="false">I54/(1-'Overview &amp; Margins'!$C$9)</f>
        <v>12375</v>
      </c>
      <c r="K54" s="18"/>
    </row>
    <row r="55" customFormat="false" ht="15" hidden="false" customHeight="false" outlineLevel="0" collapsed="false">
      <c r="A55" s="18" t="s">
        <v>100</v>
      </c>
      <c r="B55" s="18" t="s">
        <v>254</v>
      </c>
      <c r="C55" s="18" t="s">
        <v>264</v>
      </c>
      <c r="D55" s="18" t="s">
        <v>265</v>
      </c>
      <c r="E55" s="19" t="s">
        <v>266</v>
      </c>
      <c r="F55" s="20" t="n">
        <v>220</v>
      </c>
      <c r="G55" s="18" t="s">
        <v>141</v>
      </c>
      <c r="H55" s="21" t="n">
        <v>16</v>
      </c>
      <c r="I55" s="22" t="n">
        <f aca="false">F55*H55</f>
        <v>3520</v>
      </c>
      <c r="J55" s="22" t="n">
        <f aca="false">I55/(1-'Overview &amp; Margins'!$C$9)</f>
        <v>5866.66666666667</v>
      </c>
      <c r="K55" s="18"/>
    </row>
    <row r="56" customFormat="false" ht="15" hidden="false" customHeight="false" outlineLevel="0" collapsed="false">
      <c r="A56" s="18" t="s">
        <v>100</v>
      </c>
      <c r="B56" s="18" t="s">
        <v>254</v>
      </c>
      <c r="C56" s="18" t="s">
        <v>267</v>
      </c>
      <c r="D56" s="18" t="s">
        <v>268</v>
      </c>
      <c r="E56" s="19" t="s">
        <v>269</v>
      </c>
      <c r="F56" s="20" t="n">
        <v>220</v>
      </c>
      <c r="G56" s="18" t="s">
        <v>141</v>
      </c>
      <c r="H56" s="21" t="n">
        <v>14</v>
      </c>
      <c r="I56" s="22" t="n">
        <f aca="false">F56*H56</f>
        <v>3080</v>
      </c>
      <c r="J56" s="22" t="n">
        <f aca="false">I56/(1-'Overview &amp; Margins'!$C$9)</f>
        <v>5133.33333333333</v>
      </c>
      <c r="K56" s="18"/>
    </row>
    <row r="57" customFormat="false" ht="15" hidden="false" customHeight="false" outlineLevel="0" collapsed="false">
      <c r="A57" s="18" t="s">
        <v>100</v>
      </c>
      <c r="B57" s="18" t="s">
        <v>254</v>
      </c>
      <c r="C57" s="18" t="s">
        <v>270</v>
      </c>
      <c r="D57" s="18" t="s">
        <v>271</v>
      </c>
      <c r="E57" s="19" t="s">
        <v>272</v>
      </c>
      <c r="F57" s="20" t="n">
        <v>220</v>
      </c>
      <c r="G57" s="18" t="s">
        <v>141</v>
      </c>
      <c r="H57" s="21" t="n">
        <v>16</v>
      </c>
      <c r="I57" s="22" t="n">
        <f aca="false">F57*H57</f>
        <v>3520</v>
      </c>
      <c r="J57" s="22" t="n">
        <f aca="false">I57/(1-'Overview &amp; Margins'!$C$9)</f>
        <v>5866.66666666667</v>
      </c>
      <c r="K57" s="18"/>
    </row>
    <row r="58" customFormat="false" ht="28.35" hidden="false" customHeight="false" outlineLevel="0" collapsed="false">
      <c r="A58" s="18" t="s">
        <v>100</v>
      </c>
      <c r="B58" s="18" t="s">
        <v>273</v>
      </c>
      <c r="C58" s="18" t="s">
        <v>274</v>
      </c>
      <c r="D58" s="18" t="s">
        <v>275</v>
      </c>
      <c r="E58" s="19" t="s">
        <v>276</v>
      </c>
      <c r="F58" s="20" t="n">
        <v>430</v>
      </c>
      <c r="G58" s="18" t="s">
        <v>190</v>
      </c>
      <c r="H58" s="21" t="n">
        <v>42</v>
      </c>
      <c r="I58" s="22" t="n">
        <f aca="false">F58*H58</f>
        <v>18060</v>
      </c>
      <c r="J58" s="22" t="n">
        <f aca="false">I58/(1-'Overview &amp; Margins'!$C$9)</f>
        <v>30100</v>
      </c>
      <c r="K58" s="18"/>
    </row>
    <row r="59" customFormat="false" ht="15" hidden="false" customHeight="false" outlineLevel="0" collapsed="false">
      <c r="A59" s="18" t="s">
        <v>100</v>
      </c>
      <c r="B59" s="18" t="s">
        <v>273</v>
      </c>
      <c r="C59" s="18" t="s">
        <v>274</v>
      </c>
      <c r="D59" s="18" t="s">
        <v>275</v>
      </c>
      <c r="E59" s="19" t="s">
        <v>277</v>
      </c>
      <c r="F59" s="20" t="n">
        <v>72</v>
      </c>
      <c r="G59" s="18" t="s">
        <v>190</v>
      </c>
      <c r="H59" s="21" t="n">
        <v>42</v>
      </c>
      <c r="I59" s="22" t="n">
        <f aca="false">F59*H59</f>
        <v>3024</v>
      </c>
      <c r="J59" s="22" t="n">
        <f aca="false">I59/(1-'Overview &amp; Margins'!$C$9)</f>
        <v>5040</v>
      </c>
      <c r="K59" s="18"/>
    </row>
    <row r="60" customFormat="false" ht="28.35" hidden="false" customHeight="false" outlineLevel="0" collapsed="false">
      <c r="A60" s="18" t="s">
        <v>100</v>
      </c>
      <c r="B60" s="18" t="s">
        <v>273</v>
      </c>
      <c r="C60" s="18" t="s">
        <v>278</v>
      </c>
      <c r="D60" s="18" t="s">
        <v>279</v>
      </c>
      <c r="E60" s="19" t="s">
        <v>280</v>
      </c>
      <c r="F60" s="20" t="n">
        <v>3</v>
      </c>
      <c r="G60" s="18" t="s">
        <v>111</v>
      </c>
      <c r="H60" s="21" t="n">
        <v>1800</v>
      </c>
      <c r="I60" s="22" t="n">
        <f aca="false">F60*H60</f>
        <v>5400</v>
      </c>
      <c r="J60" s="22" t="n">
        <f aca="false">I60/(1-'Overview &amp; Margins'!$C$9)</f>
        <v>9000</v>
      </c>
      <c r="K60" s="18"/>
    </row>
    <row r="61" customFormat="false" ht="15" hidden="false" customHeight="false" outlineLevel="0" collapsed="false">
      <c r="A61" s="18" t="s">
        <v>100</v>
      </c>
      <c r="B61" s="18" t="s">
        <v>273</v>
      </c>
      <c r="C61" s="18" t="s">
        <v>281</v>
      </c>
      <c r="D61" s="18" t="s">
        <v>282</v>
      </c>
      <c r="E61" s="19" t="s">
        <v>283</v>
      </c>
      <c r="F61" s="20" t="n">
        <v>3</v>
      </c>
      <c r="G61" s="18" t="s">
        <v>111</v>
      </c>
      <c r="H61" s="21" t="n">
        <v>650</v>
      </c>
      <c r="I61" s="22" t="n">
        <f aca="false">F61*H61</f>
        <v>1950</v>
      </c>
      <c r="J61" s="22" t="n">
        <f aca="false">I61/(1-'Overview &amp; Margins'!$C$9)</f>
        <v>3250</v>
      </c>
      <c r="K61" s="18"/>
    </row>
    <row r="62" customFormat="false" ht="15" hidden="false" customHeight="false" outlineLevel="0" collapsed="false">
      <c r="A62" s="18" t="s">
        <v>100</v>
      </c>
      <c r="B62" s="18" t="s">
        <v>273</v>
      </c>
      <c r="C62" s="18" t="s">
        <v>284</v>
      </c>
      <c r="D62" s="18" t="s">
        <v>285</v>
      </c>
      <c r="E62" s="19" t="s">
        <v>286</v>
      </c>
      <c r="F62" s="20" t="n">
        <v>3</v>
      </c>
      <c r="G62" s="18" t="s">
        <v>111</v>
      </c>
      <c r="H62" s="21" t="n">
        <v>350</v>
      </c>
      <c r="I62" s="22" t="n">
        <f aca="false">F62*H62</f>
        <v>1050</v>
      </c>
      <c r="J62" s="22" t="n">
        <f aca="false">I62/(1-'Overview &amp; Margins'!$C$9)</f>
        <v>1750</v>
      </c>
      <c r="K62" s="18"/>
    </row>
    <row r="63" customFormat="false" ht="15" hidden="false" customHeight="false" outlineLevel="0" collapsed="false">
      <c r="A63" s="18" t="s">
        <v>100</v>
      </c>
      <c r="B63" s="18" t="s">
        <v>273</v>
      </c>
      <c r="C63" s="18" t="s">
        <v>287</v>
      </c>
      <c r="D63" s="18" t="s">
        <v>288</v>
      </c>
      <c r="E63" s="19" t="s">
        <v>289</v>
      </c>
      <c r="F63" s="20" t="n">
        <v>1</v>
      </c>
      <c r="G63" s="18" t="s">
        <v>111</v>
      </c>
      <c r="H63" s="21" t="n">
        <v>3500</v>
      </c>
      <c r="I63" s="22" t="n">
        <f aca="false">F63*H63</f>
        <v>3500</v>
      </c>
      <c r="J63" s="22" t="n">
        <f aca="false">I63/(1-'Overview &amp; Margins'!$C$9)</f>
        <v>5833.33333333333</v>
      </c>
      <c r="K63" s="18"/>
    </row>
    <row r="64" customFormat="false" ht="15" hidden="false" customHeight="false" outlineLevel="0" collapsed="false">
      <c r="A64" s="18" t="s">
        <v>100</v>
      </c>
      <c r="B64" s="18" t="s">
        <v>290</v>
      </c>
      <c r="C64" s="18" t="s">
        <v>291</v>
      </c>
      <c r="D64" s="18" t="s">
        <v>292</v>
      </c>
      <c r="E64" s="19" t="s">
        <v>293</v>
      </c>
      <c r="F64" s="20" t="n">
        <v>2200</v>
      </c>
      <c r="G64" s="18" t="s">
        <v>190</v>
      </c>
      <c r="H64" s="21" t="n">
        <v>3.5</v>
      </c>
      <c r="I64" s="22" t="n">
        <f aca="false">F64*H64</f>
        <v>7700</v>
      </c>
      <c r="J64" s="22" t="n">
        <f aca="false">I64/(1-'Overview &amp; Margins'!$C$9)</f>
        <v>12833.3333333333</v>
      </c>
      <c r="K64" s="18"/>
    </row>
    <row r="65" customFormat="false" ht="15" hidden="false" customHeight="false" outlineLevel="0" collapsed="false">
      <c r="A65" s="18" t="s">
        <v>100</v>
      </c>
      <c r="B65" s="18" t="s">
        <v>290</v>
      </c>
      <c r="C65" s="18" t="s">
        <v>294</v>
      </c>
      <c r="D65" s="18" t="s">
        <v>295</v>
      </c>
      <c r="E65" s="19" t="s">
        <v>296</v>
      </c>
      <c r="F65" s="20" t="n">
        <v>370</v>
      </c>
      <c r="G65" s="18" t="s">
        <v>141</v>
      </c>
      <c r="H65" s="21" t="n">
        <v>12</v>
      </c>
      <c r="I65" s="22" t="n">
        <f aca="false">F65*H65</f>
        <v>4440</v>
      </c>
      <c r="J65" s="22" t="n">
        <f aca="false">I65/(1-'Overview &amp; Margins'!$C$9)</f>
        <v>7400</v>
      </c>
      <c r="K65" s="18"/>
    </row>
    <row r="66" customFormat="false" ht="28.35" hidden="false" customHeight="false" outlineLevel="0" collapsed="false">
      <c r="A66" s="18" t="s">
        <v>100</v>
      </c>
      <c r="B66" s="18" t="s">
        <v>290</v>
      </c>
      <c r="C66" s="18" t="s">
        <v>297</v>
      </c>
      <c r="D66" s="18" t="s">
        <v>298</v>
      </c>
      <c r="E66" s="19" t="s">
        <v>299</v>
      </c>
      <c r="F66" s="20" t="n">
        <v>2200</v>
      </c>
      <c r="G66" s="18" t="s">
        <v>190</v>
      </c>
      <c r="H66" s="21" t="n">
        <v>45</v>
      </c>
      <c r="I66" s="22" t="n">
        <f aca="false">F66*H66</f>
        <v>99000</v>
      </c>
      <c r="J66" s="22" t="n">
        <f aca="false">I66/(1-'Overview &amp; Margins'!$C$9)</f>
        <v>165000</v>
      </c>
      <c r="K66" s="18"/>
    </row>
    <row r="67" customFormat="false" ht="15" hidden="false" customHeight="false" outlineLevel="0" collapsed="false">
      <c r="A67" s="18" t="s">
        <v>100</v>
      </c>
      <c r="B67" s="18" t="s">
        <v>290</v>
      </c>
      <c r="C67" s="18" t="s">
        <v>300</v>
      </c>
      <c r="D67" s="18" t="s">
        <v>301</v>
      </c>
      <c r="E67" s="19" t="s">
        <v>302</v>
      </c>
      <c r="F67" s="20" t="n">
        <v>1850</v>
      </c>
      <c r="G67" s="18" t="s">
        <v>190</v>
      </c>
      <c r="H67" s="21" t="n">
        <v>28</v>
      </c>
      <c r="I67" s="22" t="n">
        <f aca="false">F67*H67</f>
        <v>51800</v>
      </c>
      <c r="J67" s="22" t="n">
        <f aca="false">I67/(1-'Overview &amp; Margins'!$C$9)</f>
        <v>86333.3333333333</v>
      </c>
      <c r="K67" s="18"/>
    </row>
    <row r="68" customFormat="false" ht="28.35" hidden="false" customHeight="false" outlineLevel="0" collapsed="false">
      <c r="A68" s="18" t="s">
        <v>100</v>
      </c>
      <c r="B68" s="18" t="s">
        <v>303</v>
      </c>
      <c r="C68" s="18" t="s">
        <v>304</v>
      </c>
      <c r="D68" s="18" t="s">
        <v>305</v>
      </c>
      <c r="E68" s="19" t="s">
        <v>306</v>
      </c>
      <c r="F68" s="20" t="n">
        <v>100</v>
      </c>
      <c r="G68" s="18" t="s">
        <v>141</v>
      </c>
      <c r="H68" s="21" t="n">
        <v>85</v>
      </c>
      <c r="I68" s="22" t="n">
        <f aca="false">F68*H68</f>
        <v>8500</v>
      </c>
      <c r="J68" s="22" t="n">
        <f aca="false">I68/(1-'Overview &amp; Margins'!$C$9)</f>
        <v>14166.6666666667</v>
      </c>
      <c r="K68" s="18"/>
    </row>
    <row r="69" customFormat="false" ht="15" hidden="false" customHeight="false" outlineLevel="0" collapsed="false">
      <c r="A69" s="18" t="s">
        <v>100</v>
      </c>
      <c r="B69" s="18" t="s">
        <v>303</v>
      </c>
      <c r="C69" s="18" t="s">
        <v>307</v>
      </c>
      <c r="D69" s="18" t="s">
        <v>308</v>
      </c>
      <c r="E69" s="19" t="s">
        <v>309</v>
      </c>
      <c r="F69" s="20" t="n">
        <v>1</v>
      </c>
      <c r="G69" s="18" t="s">
        <v>90</v>
      </c>
      <c r="H69" s="21" t="n">
        <v>4000</v>
      </c>
      <c r="I69" s="22" t="n">
        <f aca="false">F69*H69</f>
        <v>4000</v>
      </c>
      <c r="J69" s="22" t="n">
        <f aca="false">I69/(1-'Overview &amp; Margins'!$C$9)</f>
        <v>6666.66666666667</v>
      </c>
      <c r="K69" s="18"/>
    </row>
    <row r="70" customFormat="false" ht="28.35" hidden="false" customHeight="false" outlineLevel="0" collapsed="false">
      <c r="A70" s="18" t="s">
        <v>100</v>
      </c>
      <c r="B70" s="18" t="s">
        <v>303</v>
      </c>
      <c r="C70" s="18" t="s">
        <v>310</v>
      </c>
      <c r="D70" s="18" t="s">
        <v>311</v>
      </c>
      <c r="E70" s="19" t="s">
        <v>312</v>
      </c>
      <c r="F70" s="20" t="n">
        <v>1</v>
      </c>
      <c r="G70" s="18" t="s">
        <v>90</v>
      </c>
      <c r="H70" s="21" t="n">
        <v>18000</v>
      </c>
      <c r="I70" s="22" t="n">
        <f aca="false">F70*H70</f>
        <v>18000</v>
      </c>
      <c r="J70" s="22" t="n">
        <f aca="false">I70/(1-'Overview &amp; Margins'!$C$9)</f>
        <v>30000</v>
      </c>
      <c r="K70" s="18"/>
    </row>
    <row r="71" customFormat="false" ht="15" hidden="false" customHeight="false" outlineLevel="0" collapsed="false">
      <c r="A71" s="18" t="s">
        <v>100</v>
      </c>
      <c r="B71" s="18" t="s">
        <v>313</v>
      </c>
      <c r="C71" s="18" t="s">
        <v>314</v>
      </c>
      <c r="D71" s="18" t="s">
        <v>315</v>
      </c>
      <c r="E71" s="19" t="s">
        <v>316</v>
      </c>
      <c r="F71" s="20" t="n">
        <v>1</v>
      </c>
      <c r="G71" s="18" t="s">
        <v>90</v>
      </c>
      <c r="H71" s="21" t="n">
        <v>6000</v>
      </c>
      <c r="I71" s="22" t="n">
        <f aca="false">F71*H71</f>
        <v>6000</v>
      </c>
      <c r="J71" s="22" t="n">
        <f aca="false">I71/(1-'Overview &amp; Margins'!$C$9)</f>
        <v>10000</v>
      </c>
      <c r="K71" s="18"/>
    </row>
    <row r="72" customFormat="false" ht="15" hidden="false" customHeight="false" outlineLevel="0" collapsed="false">
      <c r="A72" s="18" t="s">
        <v>100</v>
      </c>
      <c r="B72" s="18" t="s">
        <v>313</v>
      </c>
      <c r="C72" s="18" t="s">
        <v>317</v>
      </c>
      <c r="D72" s="18" t="s">
        <v>318</v>
      </c>
      <c r="E72" s="19" t="s">
        <v>319</v>
      </c>
      <c r="F72" s="20" t="n">
        <v>1</v>
      </c>
      <c r="G72" s="18" t="s">
        <v>90</v>
      </c>
      <c r="H72" s="21" t="n">
        <v>2000</v>
      </c>
      <c r="I72" s="22" t="n">
        <f aca="false">F72*H72</f>
        <v>2000</v>
      </c>
      <c r="J72" s="22" t="n">
        <f aca="false">I72/(1-'Overview &amp; Margins'!$C$9)</f>
        <v>3333.33333333333</v>
      </c>
      <c r="K72" s="18"/>
    </row>
    <row r="73" customFormat="false" ht="15" hidden="false" customHeight="false" outlineLevel="0" collapsed="false">
      <c r="A73" s="18" t="s">
        <v>100</v>
      </c>
      <c r="B73" s="18" t="s">
        <v>313</v>
      </c>
      <c r="C73" s="18" t="s">
        <v>320</v>
      </c>
      <c r="D73" s="18" t="s">
        <v>321</v>
      </c>
      <c r="E73" s="19" t="s">
        <v>322</v>
      </c>
      <c r="F73" s="20" t="n">
        <v>1</v>
      </c>
      <c r="G73" s="18" t="s">
        <v>90</v>
      </c>
      <c r="H73" s="21" t="n">
        <v>6500</v>
      </c>
      <c r="I73" s="22" t="n">
        <f aca="false">F73*H73</f>
        <v>6500</v>
      </c>
      <c r="J73" s="22" t="n">
        <f aca="false">I73/(1-'Overview &amp; Margins'!$C$9)</f>
        <v>10833.3333333333</v>
      </c>
      <c r="K73" s="18"/>
    </row>
    <row r="74" customFormat="false" ht="15" hidden="false" customHeight="false" outlineLevel="0" collapsed="false">
      <c r="A74" s="18" t="s">
        <v>100</v>
      </c>
      <c r="B74" s="18" t="s">
        <v>313</v>
      </c>
      <c r="C74" s="18" t="s">
        <v>323</v>
      </c>
      <c r="D74" s="18" t="s">
        <v>324</v>
      </c>
      <c r="E74" s="19" t="s">
        <v>325</v>
      </c>
      <c r="F74" s="20" t="n">
        <v>1</v>
      </c>
      <c r="G74" s="18" t="s">
        <v>90</v>
      </c>
      <c r="H74" s="21" t="n">
        <v>22000</v>
      </c>
      <c r="I74" s="22" t="n">
        <f aca="false">F74*H74</f>
        <v>22000</v>
      </c>
      <c r="J74" s="22" t="n">
        <f aca="false">I74/(1-'Overview &amp; Margins'!$C$9)</f>
        <v>36666.6666666667</v>
      </c>
      <c r="K74" s="18"/>
    </row>
    <row r="75" customFormat="false" ht="15" hidden="false" customHeight="false" outlineLevel="0" collapsed="false">
      <c r="A75" s="18" t="s">
        <v>100</v>
      </c>
      <c r="B75" s="18" t="s">
        <v>326</v>
      </c>
      <c r="C75" s="18" t="s">
        <v>327</v>
      </c>
      <c r="D75" s="18" t="s">
        <v>328</v>
      </c>
      <c r="E75" s="19" t="s">
        <v>329</v>
      </c>
      <c r="F75" s="20" t="n">
        <v>1</v>
      </c>
      <c r="G75" s="18" t="s">
        <v>90</v>
      </c>
      <c r="H75" s="21" t="n">
        <v>7000</v>
      </c>
      <c r="I75" s="22" t="n">
        <f aca="false">F75*H75</f>
        <v>7000</v>
      </c>
      <c r="J75" s="22" t="n">
        <f aca="false">I75/(1-'Overview &amp; Margins'!$C$9)</f>
        <v>11666.6666666667</v>
      </c>
      <c r="K75" s="18"/>
    </row>
    <row r="76" customFormat="false" ht="15" hidden="false" customHeight="false" outlineLevel="0" collapsed="false">
      <c r="A76" s="18" t="s">
        <v>100</v>
      </c>
      <c r="B76" s="18" t="s">
        <v>326</v>
      </c>
      <c r="C76" s="18" t="s">
        <v>330</v>
      </c>
      <c r="D76" s="18" t="s">
        <v>331</v>
      </c>
      <c r="E76" s="19" t="s">
        <v>332</v>
      </c>
      <c r="F76" s="20" t="n">
        <v>200</v>
      </c>
      <c r="G76" s="18" t="s">
        <v>141</v>
      </c>
      <c r="H76" s="21" t="n">
        <v>18</v>
      </c>
      <c r="I76" s="22" t="n">
        <f aca="false">F76*H76</f>
        <v>3600</v>
      </c>
      <c r="J76" s="22" t="n">
        <f aca="false">I76/(1-'Overview &amp; Margins'!$C$9)</f>
        <v>6000</v>
      </c>
      <c r="K76" s="18"/>
    </row>
    <row r="77" customFormat="false" ht="15" hidden="false" customHeight="false" outlineLevel="0" collapsed="false">
      <c r="A77" s="18" t="s">
        <v>100</v>
      </c>
      <c r="B77" s="18" t="s">
        <v>326</v>
      </c>
      <c r="C77" s="18" t="s">
        <v>333</v>
      </c>
      <c r="D77" s="18" t="s">
        <v>334</v>
      </c>
      <c r="E77" s="19" t="s">
        <v>335</v>
      </c>
      <c r="F77" s="20" t="n">
        <v>50</v>
      </c>
      <c r="G77" s="18" t="s">
        <v>141</v>
      </c>
      <c r="H77" s="21" t="n">
        <v>65</v>
      </c>
      <c r="I77" s="22" t="n">
        <f aca="false">F77*H77</f>
        <v>3250</v>
      </c>
      <c r="J77" s="22" t="n">
        <f aca="false">I77/(1-'Overview &amp; Margins'!$C$9)</f>
        <v>5416.66666666667</v>
      </c>
      <c r="K77" s="18"/>
    </row>
    <row r="78" customFormat="false" ht="15" hidden="false" customHeight="false" outlineLevel="0" collapsed="false">
      <c r="A78" s="18" t="s">
        <v>100</v>
      </c>
      <c r="B78" s="18" t="s">
        <v>326</v>
      </c>
      <c r="C78" s="18" t="s">
        <v>336</v>
      </c>
      <c r="D78" s="18" t="s">
        <v>337</v>
      </c>
      <c r="E78" s="19" t="s">
        <v>338</v>
      </c>
      <c r="F78" s="20" t="n">
        <v>1</v>
      </c>
      <c r="G78" s="18" t="s">
        <v>90</v>
      </c>
      <c r="H78" s="21" t="n">
        <v>8500</v>
      </c>
      <c r="I78" s="22" t="n">
        <f aca="false">F78*H78</f>
        <v>8500</v>
      </c>
      <c r="J78" s="22" t="n">
        <f aca="false">I78/(1-'Overview &amp; Margins'!$C$9)</f>
        <v>14166.6666666667</v>
      </c>
      <c r="K78" s="18"/>
    </row>
    <row r="79" customFormat="false" ht="28.35" hidden="false" customHeight="false" outlineLevel="0" collapsed="false">
      <c r="A79" s="18" t="s">
        <v>100</v>
      </c>
      <c r="B79" s="18" t="s">
        <v>326</v>
      </c>
      <c r="C79" s="18" t="s">
        <v>339</v>
      </c>
      <c r="D79" s="18" t="s">
        <v>340</v>
      </c>
      <c r="E79" s="19" t="s">
        <v>341</v>
      </c>
      <c r="F79" s="20" t="n">
        <v>1</v>
      </c>
      <c r="G79" s="18" t="s">
        <v>90</v>
      </c>
      <c r="H79" s="21" t="n">
        <v>18000</v>
      </c>
      <c r="I79" s="22" t="n">
        <f aca="false">F79*H79</f>
        <v>18000</v>
      </c>
      <c r="J79" s="22" t="n">
        <f aca="false">I79/(1-'Overview &amp; Margins'!$C$9)</f>
        <v>30000</v>
      </c>
      <c r="K79" s="18"/>
    </row>
    <row r="80" customFormat="false" ht="15" hidden="false" customHeight="false" outlineLevel="0" collapsed="false">
      <c r="A80" s="18" t="s">
        <v>100</v>
      </c>
      <c r="B80" s="18" t="s">
        <v>342</v>
      </c>
      <c r="C80" s="18" t="s">
        <v>343</v>
      </c>
      <c r="D80" s="18" t="s">
        <v>344</v>
      </c>
      <c r="E80" s="19" t="s">
        <v>345</v>
      </c>
      <c r="F80" s="20" t="n">
        <v>500</v>
      </c>
      <c r="G80" s="18" t="s">
        <v>190</v>
      </c>
      <c r="H80" s="21" t="n">
        <v>14</v>
      </c>
      <c r="I80" s="22" t="n">
        <f aca="false">F80*H80</f>
        <v>7000</v>
      </c>
      <c r="J80" s="22" t="n">
        <f aca="false">I80/(1-'Overview &amp; Margins'!$C$9)</f>
        <v>11666.6666666667</v>
      </c>
      <c r="K80" s="18"/>
    </row>
    <row r="81" customFormat="false" ht="28.35" hidden="false" customHeight="false" outlineLevel="0" collapsed="false">
      <c r="A81" s="18" t="s">
        <v>100</v>
      </c>
      <c r="B81" s="18" t="s">
        <v>342</v>
      </c>
      <c r="C81" s="18" t="s">
        <v>346</v>
      </c>
      <c r="D81" s="18" t="s">
        <v>347</v>
      </c>
      <c r="E81" s="19" t="s">
        <v>348</v>
      </c>
      <c r="F81" s="20" t="n">
        <v>4510</v>
      </c>
      <c r="G81" s="18" t="s">
        <v>190</v>
      </c>
      <c r="H81" s="21" t="n">
        <v>2</v>
      </c>
      <c r="I81" s="22" t="n">
        <f aca="false">F81*H81</f>
        <v>9020</v>
      </c>
      <c r="J81" s="22" t="n">
        <f aca="false">I81/(1-'Overview &amp; Margins'!$C$9)</f>
        <v>15033.3333333333</v>
      </c>
      <c r="K81" s="18" t="s">
        <v>349</v>
      </c>
    </row>
    <row r="82" customFormat="false" ht="15" hidden="false" customHeight="false" outlineLevel="0" collapsed="false">
      <c r="A82" s="18" t="s">
        <v>100</v>
      </c>
      <c r="B82" s="18" t="s">
        <v>342</v>
      </c>
      <c r="C82" s="18" t="s">
        <v>350</v>
      </c>
      <c r="D82" s="18" t="s">
        <v>351</v>
      </c>
      <c r="E82" s="19" t="s">
        <v>352</v>
      </c>
      <c r="F82" s="20" t="n">
        <v>1</v>
      </c>
      <c r="G82" s="18" t="s">
        <v>90</v>
      </c>
      <c r="H82" s="21" t="n">
        <v>2800</v>
      </c>
      <c r="I82" s="22" t="n">
        <f aca="false">F82*H82</f>
        <v>2800</v>
      </c>
      <c r="J82" s="22" t="n">
        <f aca="false">I82/(1-'Overview &amp; Margins'!$C$9)</f>
        <v>4666.66666666667</v>
      </c>
      <c r="K82" s="18"/>
    </row>
    <row r="83" customFormat="false" ht="15" hidden="false" customHeight="false" outlineLevel="0" collapsed="false">
      <c r="A83" s="18" t="s">
        <v>100</v>
      </c>
      <c r="B83" s="18" t="s">
        <v>342</v>
      </c>
      <c r="C83" s="18" t="s">
        <v>353</v>
      </c>
      <c r="D83" s="18" t="s">
        <v>354</v>
      </c>
      <c r="E83" s="19" t="s">
        <v>355</v>
      </c>
      <c r="F83" s="20" t="n">
        <v>1470</v>
      </c>
      <c r="G83" s="18" t="s">
        <v>190</v>
      </c>
      <c r="H83" s="21" t="n">
        <v>2.25</v>
      </c>
      <c r="I83" s="22" t="n">
        <f aca="false">F83*H83</f>
        <v>3307.5</v>
      </c>
      <c r="J83" s="22" t="n">
        <f aca="false">I83/(1-'Overview &amp; Margins'!$C$9)</f>
        <v>5512.5</v>
      </c>
      <c r="K83" s="18"/>
    </row>
    <row r="84" customFormat="false" ht="28.35" hidden="false" customHeight="false" outlineLevel="0" collapsed="false">
      <c r="A84" s="18" t="s">
        <v>100</v>
      </c>
      <c r="B84" s="18" t="s">
        <v>356</v>
      </c>
      <c r="C84" s="18" t="s">
        <v>357</v>
      </c>
      <c r="D84" s="18" t="s">
        <v>358</v>
      </c>
      <c r="E84" s="19" t="s">
        <v>359</v>
      </c>
      <c r="F84" s="20" t="n">
        <v>3478</v>
      </c>
      <c r="G84" s="18" t="s">
        <v>190</v>
      </c>
      <c r="H84" s="21" t="n">
        <v>14</v>
      </c>
      <c r="I84" s="22" t="n">
        <f aca="false">F84*H84</f>
        <v>48692</v>
      </c>
      <c r="J84" s="22" t="n">
        <f aca="false">I84/(1-'Overview &amp; Margins'!$C$9)</f>
        <v>81153.3333333333</v>
      </c>
      <c r="K84" s="18"/>
    </row>
    <row r="85" customFormat="false" ht="15" hidden="false" customHeight="false" outlineLevel="0" collapsed="false">
      <c r="A85" s="18" t="s">
        <v>100</v>
      </c>
      <c r="B85" s="18" t="s">
        <v>356</v>
      </c>
      <c r="C85" s="18" t="s">
        <v>360</v>
      </c>
      <c r="D85" s="18" t="s">
        <v>361</v>
      </c>
      <c r="E85" s="19" t="s">
        <v>362</v>
      </c>
      <c r="F85" s="20" t="n">
        <v>2930</v>
      </c>
      <c r="G85" s="18" t="s">
        <v>190</v>
      </c>
      <c r="H85" s="21" t="n">
        <v>1.5</v>
      </c>
      <c r="I85" s="22" t="n">
        <f aca="false">F85*H85</f>
        <v>4395</v>
      </c>
      <c r="J85" s="22" t="n">
        <f aca="false">I85/(1-'Overview &amp; Margins'!$C$9)</f>
        <v>7325</v>
      </c>
      <c r="K85" s="18"/>
    </row>
    <row r="86" customFormat="false" ht="15" hidden="false" customHeight="false" outlineLevel="0" collapsed="false">
      <c r="A86" s="18" t="s">
        <v>100</v>
      </c>
      <c r="B86" s="18" t="s">
        <v>363</v>
      </c>
      <c r="C86" s="18" t="s">
        <v>364</v>
      </c>
      <c r="D86" s="18" t="s">
        <v>365</v>
      </c>
      <c r="E86" s="19" t="s">
        <v>366</v>
      </c>
      <c r="F86" s="20" t="n">
        <v>1</v>
      </c>
      <c r="G86" s="18" t="s">
        <v>90</v>
      </c>
      <c r="H86" s="21" t="n">
        <v>4500</v>
      </c>
      <c r="I86" s="22" t="n">
        <f aca="false">F86*H86</f>
        <v>4500</v>
      </c>
      <c r="J86" s="22" t="n">
        <f aca="false">I86/(1-'Overview &amp; Margins'!$C$9)</f>
        <v>7500</v>
      </c>
      <c r="K86" s="18"/>
    </row>
    <row r="87" customFormat="false" ht="15" hidden="false" customHeight="false" outlineLevel="0" collapsed="false">
      <c r="A87" s="18" t="s">
        <v>100</v>
      </c>
      <c r="B87" s="18" t="s">
        <v>363</v>
      </c>
      <c r="C87" s="18" t="s">
        <v>367</v>
      </c>
      <c r="D87" s="18" t="s">
        <v>368</v>
      </c>
      <c r="E87" s="19" t="s">
        <v>369</v>
      </c>
      <c r="F87" s="20" t="n">
        <v>1</v>
      </c>
      <c r="G87" s="18" t="s">
        <v>90</v>
      </c>
      <c r="H87" s="21" t="n">
        <v>5500</v>
      </c>
      <c r="I87" s="22" t="n">
        <f aca="false">F87*H87</f>
        <v>5500</v>
      </c>
      <c r="J87" s="22" t="n">
        <f aca="false">I87/(1-'Overview &amp; Margins'!$C$9)</f>
        <v>9166.66666666667</v>
      </c>
      <c r="K87" s="18"/>
    </row>
    <row r="88" customFormat="false" ht="15" hidden="false" customHeight="false" outlineLevel="0" collapsed="false">
      <c r="A88" s="18" t="s">
        <v>100</v>
      </c>
      <c r="B88" s="18" t="s">
        <v>363</v>
      </c>
      <c r="C88" s="18" t="s">
        <v>370</v>
      </c>
      <c r="D88" s="18" t="s">
        <v>371</v>
      </c>
      <c r="E88" s="19" t="s">
        <v>372</v>
      </c>
      <c r="F88" s="20" t="n">
        <v>1</v>
      </c>
      <c r="G88" s="18" t="s">
        <v>90</v>
      </c>
      <c r="H88" s="21" t="n">
        <v>500</v>
      </c>
      <c r="I88" s="22" t="n">
        <f aca="false">F88*H88</f>
        <v>500</v>
      </c>
      <c r="J88" s="22" t="n">
        <f aca="false">I88/(1-'Overview &amp; Margins'!$C$9)</f>
        <v>833.333333333333</v>
      </c>
      <c r="K88" s="18"/>
    </row>
    <row r="89" customFormat="false" ht="15" hidden="false" customHeight="false" outlineLevel="0" collapsed="false">
      <c r="A89" s="18" t="s">
        <v>100</v>
      </c>
      <c r="B89" s="18" t="s">
        <v>363</v>
      </c>
      <c r="C89" s="18" t="s">
        <v>373</v>
      </c>
      <c r="D89" s="18" t="s">
        <v>374</v>
      </c>
      <c r="E89" s="19" t="s">
        <v>375</v>
      </c>
      <c r="F89" s="20" t="n">
        <v>1</v>
      </c>
      <c r="G89" s="18" t="s">
        <v>90</v>
      </c>
      <c r="H89" s="21" t="n">
        <v>250</v>
      </c>
      <c r="I89" s="22" t="n">
        <f aca="false">F89*H89</f>
        <v>250</v>
      </c>
      <c r="J89" s="22" t="n">
        <f aca="false">I89/(1-'Overview &amp; Margins'!$C$9)</f>
        <v>416.666666666667</v>
      </c>
      <c r="K89" s="18"/>
    </row>
    <row r="90" customFormat="false" ht="15" hidden="false" customHeight="false" outlineLevel="0" collapsed="false">
      <c r="A90" s="18" t="s">
        <v>376</v>
      </c>
      <c r="B90" s="18" t="s">
        <v>377</v>
      </c>
      <c r="C90" s="18" t="s">
        <v>378</v>
      </c>
      <c r="D90" s="18" t="s">
        <v>379</v>
      </c>
      <c r="E90" s="19" t="s">
        <v>380</v>
      </c>
      <c r="F90" s="20" t="n">
        <v>2930</v>
      </c>
      <c r="G90" s="18" t="s">
        <v>190</v>
      </c>
      <c r="H90" s="21" t="n">
        <v>3.5</v>
      </c>
      <c r="I90" s="22" t="n">
        <f aca="false">F90*H90</f>
        <v>10255</v>
      </c>
      <c r="J90" s="22" t="n">
        <f aca="false">I90/(1-'Overview &amp; Margins'!$C$9)</f>
        <v>17091.6666666667</v>
      </c>
      <c r="K90" s="18"/>
    </row>
    <row r="91" customFormat="false" ht="15" hidden="false" customHeight="false" outlineLevel="0" collapsed="false">
      <c r="A91" s="18" t="s">
        <v>376</v>
      </c>
      <c r="B91" s="18" t="s">
        <v>381</v>
      </c>
      <c r="C91" s="18" t="s">
        <v>382</v>
      </c>
      <c r="D91" s="18" t="s">
        <v>383</v>
      </c>
      <c r="E91" s="19" t="s">
        <v>384</v>
      </c>
      <c r="F91" s="20" t="n">
        <v>22</v>
      </c>
      <c r="G91" s="18" t="s">
        <v>111</v>
      </c>
      <c r="H91" s="21" t="n">
        <v>650</v>
      </c>
      <c r="I91" s="22" t="n">
        <f aca="false">F91*H91</f>
        <v>14300</v>
      </c>
      <c r="J91" s="22" t="n">
        <f aca="false">I91/(1-'Overview &amp; Margins'!$C$9)</f>
        <v>23833.3333333333</v>
      </c>
      <c r="K91" s="18"/>
    </row>
    <row r="92" customFormat="false" ht="15" hidden="false" customHeight="false" outlineLevel="0" collapsed="false">
      <c r="A92" s="18" t="s">
        <v>376</v>
      </c>
      <c r="B92" s="18" t="s">
        <v>381</v>
      </c>
      <c r="C92" s="18" t="s">
        <v>385</v>
      </c>
      <c r="D92" s="18" t="s">
        <v>386</v>
      </c>
      <c r="E92" s="19" t="s">
        <v>387</v>
      </c>
      <c r="F92" s="20" t="n">
        <v>22</v>
      </c>
      <c r="G92" s="18" t="s">
        <v>111</v>
      </c>
      <c r="H92" s="21" t="n">
        <v>45</v>
      </c>
      <c r="I92" s="22" t="n">
        <f aca="false">F92*H92</f>
        <v>990</v>
      </c>
      <c r="J92" s="22" t="n">
        <f aca="false">I92/(1-'Overview &amp; Margins'!$C$9)</f>
        <v>1650</v>
      </c>
      <c r="K92" s="18" t="s">
        <v>388</v>
      </c>
    </row>
    <row r="93" customFormat="false" ht="15" hidden="false" customHeight="false" outlineLevel="0" collapsed="false">
      <c r="A93" s="18" t="s">
        <v>376</v>
      </c>
      <c r="B93" s="18" t="s">
        <v>381</v>
      </c>
      <c r="C93" s="18" t="s">
        <v>389</v>
      </c>
      <c r="D93" s="18" t="s">
        <v>390</v>
      </c>
      <c r="E93" s="19" t="s">
        <v>391</v>
      </c>
      <c r="F93" s="20" t="n">
        <v>2100</v>
      </c>
      <c r="G93" s="18" t="s">
        <v>141</v>
      </c>
      <c r="H93" s="21" t="n">
        <v>4</v>
      </c>
      <c r="I93" s="22" t="n">
        <f aca="false">F93*H93</f>
        <v>8400</v>
      </c>
      <c r="J93" s="22" t="n">
        <f aca="false">I93/(1-'Overview &amp; Margins'!$C$9)</f>
        <v>14000</v>
      </c>
      <c r="K93" s="18" t="s">
        <v>392</v>
      </c>
    </row>
    <row r="94" customFormat="false" ht="15" hidden="false" customHeight="false" outlineLevel="0" collapsed="false">
      <c r="A94" s="18" t="s">
        <v>376</v>
      </c>
      <c r="B94" s="18" t="s">
        <v>381</v>
      </c>
      <c r="C94" s="18" t="s">
        <v>393</v>
      </c>
      <c r="D94" s="18" t="s">
        <v>394</v>
      </c>
      <c r="E94" s="19" t="s">
        <v>395</v>
      </c>
      <c r="F94" s="20" t="n">
        <v>140</v>
      </c>
      <c r="G94" s="18" t="s">
        <v>396</v>
      </c>
      <c r="H94" s="21" t="n">
        <v>85</v>
      </c>
      <c r="I94" s="22" t="n">
        <f aca="false">F94*H94</f>
        <v>11900</v>
      </c>
      <c r="J94" s="22" t="n">
        <f aca="false">I94/(1-'Overview &amp; Margins'!$C$9)</f>
        <v>19833.3333333333</v>
      </c>
      <c r="K94" s="18"/>
    </row>
    <row r="95" customFormat="false" ht="15" hidden="false" customHeight="false" outlineLevel="0" collapsed="false">
      <c r="A95" s="18" t="s">
        <v>376</v>
      </c>
      <c r="B95" s="18" t="s">
        <v>397</v>
      </c>
      <c r="C95" s="18" t="s">
        <v>398</v>
      </c>
      <c r="D95" s="18" t="s">
        <v>399</v>
      </c>
      <c r="E95" s="19" t="s">
        <v>400</v>
      </c>
      <c r="F95" s="20" t="n">
        <v>335</v>
      </c>
      <c r="G95" s="18" t="s">
        <v>190</v>
      </c>
      <c r="H95" s="21" t="n">
        <v>8.5</v>
      </c>
      <c r="I95" s="22" t="n">
        <f aca="false">F95*H95</f>
        <v>2847.5</v>
      </c>
      <c r="J95" s="22" t="n">
        <f aca="false">I95/(1-'Overview &amp; Margins'!$C$9)</f>
        <v>4745.83333333333</v>
      </c>
      <c r="K95" s="18"/>
    </row>
    <row r="96" customFormat="false" ht="15" hidden="false" customHeight="false" outlineLevel="0" collapsed="false">
      <c r="A96" s="18" t="s">
        <v>376</v>
      </c>
      <c r="B96" s="18" t="s">
        <v>397</v>
      </c>
      <c r="C96" s="18" t="s">
        <v>401</v>
      </c>
      <c r="D96" s="18" t="s">
        <v>402</v>
      </c>
      <c r="E96" s="19" t="s">
        <v>403</v>
      </c>
      <c r="F96" s="20" t="n">
        <v>335</v>
      </c>
      <c r="G96" s="18" t="s">
        <v>190</v>
      </c>
      <c r="H96" s="21" t="n">
        <v>15</v>
      </c>
      <c r="I96" s="22" t="n">
        <f aca="false">F96*H96</f>
        <v>5025</v>
      </c>
      <c r="J96" s="22" t="n">
        <f aca="false">I96/(1-'Overview &amp; Margins'!$C$9)</f>
        <v>8375</v>
      </c>
      <c r="K96" s="18"/>
    </row>
    <row r="97" customFormat="false" ht="15" hidden="false" customHeight="false" outlineLevel="0" collapsed="false">
      <c r="A97" s="18" t="s">
        <v>376</v>
      </c>
      <c r="B97" s="18" t="s">
        <v>397</v>
      </c>
      <c r="C97" s="18" t="s">
        <v>404</v>
      </c>
      <c r="D97" s="18" t="s">
        <v>405</v>
      </c>
      <c r="E97" s="19" t="s">
        <v>406</v>
      </c>
      <c r="F97" s="20" t="n">
        <v>2450</v>
      </c>
      <c r="G97" s="18" t="s">
        <v>190</v>
      </c>
      <c r="H97" s="21" t="n">
        <v>8</v>
      </c>
      <c r="I97" s="22" t="n">
        <f aca="false">F97*H97</f>
        <v>19600</v>
      </c>
      <c r="J97" s="22" t="n">
        <f aca="false">I97/(1-'Overview &amp; Margins'!$C$9)</f>
        <v>32666.6666666667</v>
      </c>
      <c r="K97" s="18" t="s">
        <v>392</v>
      </c>
    </row>
    <row r="98" customFormat="false" ht="28.35" hidden="false" customHeight="false" outlineLevel="0" collapsed="false">
      <c r="A98" s="18" t="s">
        <v>376</v>
      </c>
      <c r="B98" s="18" t="s">
        <v>397</v>
      </c>
      <c r="C98" s="18" t="s">
        <v>407</v>
      </c>
      <c r="D98" s="18" t="s">
        <v>408</v>
      </c>
      <c r="E98" s="19" t="s">
        <v>409</v>
      </c>
      <c r="F98" s="20" t="n">
        <v>505</v>
      </c>
      <c r="G98" s="18" t="s">
        <v>190</v>
      </c>
      <c r="H98" s="21" t="n">
        <v>6</v>
      </c>
      <c r="I98" s="22" t="n">
        <f aca="false">F98*H98</f>
        <v>3030</v>
      </c>
      <c r="J98" s="22" t="n">
        <f aca="false">I98/(1-'Overview &amp; Margins'!$C$9)</f>
        <v>5050</v>
      </c>
      <c r="K98" s="18" t="s">
        <v>410</v>
      </c>
    </row>
    <row r="99" customFormat="false" ht="15" hidden="false" customHeight="false" outlineLevel="0" collapsed="false">
      <c r="A99" s="18" t="s">
        <v>376</v>
      </c>
      <c r="B99" s="18" t="s">
        <v>397</v>
      </c>
      <c r="C99" s="18" t="s">
        <v>411</v>
      </c>
      <c r="D99" s="18" t="s">
        <v>412</v>
      </c>
      <c r="E99" s="19" t="s">
        <v>413</v>
      </c>
      <c r="F99" s="20" t="n">
        <v>16</v>
      </c>
      <c r="G99" s="18" t="s">
        <v>190</v>
      </c>
      <c r="H99" s="21" t="n">
        <v>12</v>
      </c>
      <c r="I99" s="22" t="n">
        <f aca="false">F99*H99</f>
        <v>192</v>
      </c>
      <c r="J99" s="22" t="n">
        <f aca="false">I99/(1-'Overview &amp; Margins'!$C$9)</f>
        <v>320</v>
      </c>
      <c r="K99" s="18"/>
    </row>
    <row r="100" customFormat="false" ht="15" hidden="false" customHeight="false" outlineLevel="0" collapsed="false">
      <c r="A100" s="18" t="s">
        <v>376</v>
      </c>
      <c r="B100" s="18" t="s">
        <v>397</v>
      </c>
      <c r="C100" s="18" t="s">
        <v>414</v>
      </c>
      <c r="D100" s="18" t="s">
        <v>415</v>
      </c>
      <c r="E100" s="19" t="s">
        <v>416</v>
      </c>
      <c r="F100" s="20" t="n">
        <v>140</v>
      </c>
      <c r="G100" s="18" t="s">
        <v>190</v>
      </c>
      <c r="H100" s="21" t="n">
        <v>18</v>
      </c>
      <c r="I100" s="22" t="n">
        <f aca="false">F100*H100</f>
        <v>2520</v>
      </c>
      <c r="J100" s="22" t="n">
        <f aca="false">I100/(1-'Overview &amp; Margins'!$C$9)</f>
        <v>4200</v>
      </c>
      <c r="K100" s="18"/>
    </row>
    <row r="101" customFormat="false" ht="15" hidden="false" customHeight="false" outlineLevel="0" collapsed="false">
      <c r="A101" s="18" t="s">
        <v>376</v>
      </c>
      <c r="B101" s="18" t="s">
        <v>397</v>
      </c>
      <c r="C101" s="18" t="s">
        <v>417</v>
      </c>
      <c r="D101" s="18" t="s">
        <v>418</v>
      </c>
      <c r="E101" s="19" t="s">
        <v>419</v>
      </c>
      <c r="F101" s="20" t="n">
        <v>30</v>
      </c>
      <c r="G101" s="18" t="s">
        <v>190</v>
      </c>
      <c r="H101" s="21" t="n">
        <v>38</v>
      </c>
      <c r="I101" s="22" t="n">
        <f aca="false">F101*H101</f>
        <v>1140</v>
      </c>
      <c r="J101" s="22" t="n">
        <f aca="false">I101/(1-'Overview &amp; Margins'!$C$9)</f>
        <v>1900</v>
      </c>
      <c r="K101" s="18"/>
    </row>
    <row r="102" customFormat="false" ht="15" hidden="false" customHeight="false" outlineLevel="0" collapsed="false">
      <c r="A102" s="18" t="s">
        <v>376</v>
      </c>
      <c r="B102" s="18" t="s">
        <v>420</v>
      </c>
      <c r="C102" s="18" t="s">
        <v>421</v>
      </c>
      <c r="D102" s="18" t="s">
        <v>422</v>
      </c>
      <c r="E102" s="19" t="s">
        <v>423</v>
      </c>
      <c r="F102" s="20" t="n">
        <v>34</v>
      </c>
      <c r="G102" s="18" t="s">
        <v>141</v>
      </c>
      <c r="H102" s="21" t="n">
        <v>120</v>
      </c>
      <c r="I102" s="22" t="n">
        <f aca="false">F102*H102</f>
        <v>4080</v>
      </c>
      <c r="J102" s="22" t="n">
        <f aca="false">I102/(1-'Overview &amp; Margins'!$C$9)</f>
        <v>6800</v>
      </c>
      <c r="K102" s="18" t="s">
        <v>424</v>
      </c>
    </row>
    <row r="103" customFormat="false" ht="15" hidden="false" customHeight="false" outlineLevel="0" collapsed="false">
      <c r="A103" s="18" t="s">
        <v>376</v>
      </c>
      <c r="B103" s="18" t="s">
        <v>420</v>
      </c>
      <c r="C103" s="18" t="s">
        <v>425</v>
      </c>
      <c r="D103" s="18" t="s">
        <v>426</v>
      </c>
      <c r="E103" s="19" t="s">
        <v>427</v>
      </c>
      <c r="F103" s="20" t="n">
        <v>1</v>
      </c>
      <c r="G103" s="18" t="s">
        <v>90</v>
      </c>
      <c r="H103" s="21" t="n">
        <v>5000</v>
      </c>
      <c r="I103" s="22" t="n">
        <f aca="false">F103*H103</f>
        <v>5000</v>
      </c>
      <c r="J103" s="22" t="n">
        <f aca="false">I103/(1-'Overview &amp; Margins'!$C$9)</f>
        <v>8333.33333333333</v>
      </c>
      <c r="K103" s="18"/>
    </row>
    <row r="104" customFormat="false" ht="15" hidden="false" customHeight="false" outlineLevel="0" collapsed="false">
      <c r="A104" s="18" t="s">
        <v>376</v>
      </c>
      <c r="B104" s="18" t="s">
        <v>428</v>
      </c>
      <c r="C104" s="18" t="s">
        <v>429</v>
      </c>
      <c r="D104" s="18" t="s">
        <v>430</v>
      </c>
      <c r="E104" s="19" t="s">
        <v>431</v>
      </c>
      <c r="F104" s="20" t="n">
        <v>40</v>
      </c>
      <c r="G104" s="18" t="s">
        <v>141</v>
      </c>
      <c r="H104" s="21" t="n">
        <v>280</v>
      </c>
      <c r="I104" s="22" t="n">
        <f aca="false">F104*H104</f>
        <v>11200</v>
      </c>
      <c r="J104" s="22" t="n">
        <f aca="false">I104/(1-'Overview &amp; Margins'!$C$9)</f>
        <v>18666.6666666667</v>
      </c>
      <c r="K104" s="18"/>
    </row>
    <row r="105" customFormat="false" ht="15" hidden="false" customHeight="false" outlineLevel="0" collapsed="false">
      <c r="A105" s="18" t="s">
        <v>376</v>
      </c>
      <c r="B105" s="18" t="s">
        <v>428</v>
      </c>
      <c r="C105" s="18" t="s">
        <v>432</v>
      </c>
      <c r="D105" s="18" t="s">
        <v>433</v>
      </c>
      <c r="E105" s="19" t="s">
        <v>434</v>
      </c>
      <c r="F105" s="20" t="n">
        <v>40</v>
      </c>
      <c r="G105" s="18" t="s">
        <v>141</v>
      </c>
      <c r="H105" s="21" t="n">
        <v>85</v>
      </c>
      <c r="I105" s="22" t="n">
        <f aca="false">F105*H105</f>
        <v>3400</v>
      </c>
      <c r="J105" s="22" t="n">
        <f aca="false">I105/(1-'Overview &amp; Margins'!$C$9)</f>
        <v>5666.66666666667</v>
      </c>
      <c r="K105" s="18"/>
    </row>
    <row r="106" customFormat="false" ht="15" hidden="false" customHeight="false" outlineLevel="0" collapsed="false">
      <c r="A106" s="18" t="s">
        <v>376</v>
      </c>
      <c r="B106" s="18" t="s">
        <v>428</v>
      </c>
      <c r="C106" s="18" t="s">
        <v>435</v>
      </c>
      <c r="D106" s="18" t="s">
        <v>436</v>
      </c>
      <c r="E106" s="19" t="s">
        <v>437</v>
      </c>
      <c r="F106" s="20" t="n">
        <v>95</v>
      </c>
      <c r="G106" s="18" t="s">
        <v>190</v>
      </c>
      <c r="H106" s="21" t="n">
        <v>65</v>
      </c>
      <c r="I106" s="22" t="n">
        <f aca="false">F106*H106</f>
        <v>6175</v>
      </c>
      <c r="J106" s="22" t="n">
        <f aca="false">I106/(1-'Overview &amp; Margins'!$C$9)</f>
        <v>10291.6666666667</v>
      </c>
      <c r="K106" s="18" t="s">
        <v>438</v>
      </c>
    </row>
    <row r="107" customFormat="false" ht="15" hidden="false" customHeight="false" outlineLevel="0" collapsed="false">
      <c r="A107" s="18" t="s">
        <v>376</v>
      </c>
      <c r="B107" s="18" t="s">
        <v>428</v>
      </c>
      <c r="C107" s="18" t="s">
        <v>439</v>
      </c>
      <c r="D107" s="18" t="s">
        <v>440</v>
      </c>
      <c r="E107" s="19" t="s">
        <v>441</v>
      </c>
      <c r="F107" s="20" t="n">
        <v>1</v>
      </c>
      <c r="G107" s="18" t="s">
        <v>90</v>
      </c>
      <c r="H107" s="21" t="n">
        <v>600</v>
      </c>
      <c r="I107" s="22" t="n">
        <f aca="false">F107*H107</f>
        <v>600</v>
      </c>
      <c r="J107" s="22" t="n">
        <f aca="false">I107/(1-'Overview &amp; Margins'!$C$9)</f>
        <v>1000</v>
      </c>
      <c r="K107" s="18" t="s">
        <v>442</v>
      </c>
    </row>
    <row r="108" customFormat="false" ht="15" hidden="false" customHeight="false" outlineLevel="0" collapsed="false">
      <c r="A108" s="18" t="s">
        <v>376</v>
      </c>
      <c r="B108" s="18" t="s">
        <v>443</v>
      </c>
      <c r="C108" s="18" t="s">
        <v>444</v>
      </c>
      <c r="D108" s="18" t="s">
        <v>445</v>
      </c>
      <c r="E108" s="19" t="s">
        <v>446</v>
      </c>
      <c r="F108" s="20" t="n">
        <v>6</v>
      </c>
      <c r="G108" s="18" t="s">
        <v>111</v>
      </c>
      <c r="H108" s="21" t="n">
        <v>150</v>
      </c>
      <c r="I108" s="22" t="n">
        <f aca="false">F108*H108</f>
        <v>900</v>
      </c>
      <c r="J108" s="22" t="n">
        <f aca="false">I108/(1-'Overview &amp; Margins'!$C$9)</f>
        <v>1500</v>
      </c>
      <c r="K108" s="18" t="s">
        <v>447</v>
      </c>
    </row>
    <row r="109" customFormat="false" ht="15" hidden="false" customHeight="false" outlineLevel="0" collapsed="false">
      <c r="A109" s="18" t="s">
        <v>376</v>
      </c>
      <c r="B109" s="18" t="s">
        <v>443</v>
      </c>
      <c r="C109" s="18" t="s">
        <v>448</v>
      </c>
      <c r="D109" s="18" t="s">
        <v>449</v>
      </c>
      <c r="E109" s="19" t="s">
        <v>450</v>
      </c>
      <c r="F109" s="20" t="n">
        <v>1</v>
      </c>
      <c r="G109" s="18" t="s">
        <v>90</v>
      </c>
      <c r="H109" s="21" t="n">
        <v>9000</v>
      </c>
      <c r="I109" s="22" t="n">
        <f aca="false">F109*H109</f>
        <v>9000</v>
      </c>
      <c r="J109" s="22" t="n">
        <f aca="false">I109/(1-'Overview &amp; Margins'!$C$9)</f>
        <v>15000</v>
      </c>
      <c r="K109" s="18" t="s">
        <v>451</v>
      </c>
    </row>
    <row r="110" customFormat="false" ht="15" hidden="false" customHeight="false" outlineLevel="0" collapsed="false">
      <c r="A110" s="18" t="s">
        <v>376</v>
      </c>
      <c r="B110" s="18" t="s">
        <v>443</v>
      </c>
      <c r="C110" s="18" t="s">
        <v>452</v>
      </c>
      <c r="D110" s="18" t="s">
        <v>453</v>
      </c>
      <c r="E110" s="19" t="s">
        <v>454</v>
      </c>
      <c r="F110" s="20" t="n">
        <v>9</v>
      </c>
      <c r="G110" s="18" t="s">
        <v>111</v>
      </c>
      <c r="H110" s="21" t="n">
        <v>120</v>
      </c>
      <c r="I110" s="22" t="n">
        <f aca="false">F110*H110</f>
        <v>1080</v>
      </c>
      <c r="J110" s="22" t="n">
        <f aca="false">I110/(1-'Overview &amp; Margins'!$C$9)</f>
        <v>1800</v>
      </c>
      <c r="K110" s="18"/>
    </row>
    <row r="111" customFormat="false" ht="28.35" hidden="false" customHeight="false" outlineLevel="0" collapsed="false">
      <c r="A111" s="18" t="s">
        <v>376</v>
      </c>
      <c r="B111" s="18" t="s">
        <v>443</v>
      </c>
      <c r="C111" s="18" t="s">
        <v>455</v>
      </c>
      <c r="D111" s="18" t="s">
        <v>456</v>
      </c>
      <c r="E111" s="19" t="s">
        <v>457</v>
      </c>
      <c r="F111" s="20" t="n">
        <v>1</v>
      </c>
      <c r="G111" s="18" t="s">
        <v>90</v>
      </c>
      <c r="H111" s="21" t="n">
        <v>9000</v>
      </c>
      <c r="I111" s="22" t="n">
        <f aca="false">F111*H111</f>
        <v>9000</v>
      </c>
      <c r="J111" s="22" t="n">
        <f aca="false">I111/(1-'Overview &amp; Margins'!$C$9)</f>
        <v>15000</v>
      </c>
      <c r="K111" s="18" t="s">
        <v>458</v>
      </c>
    </row>
    <row r="112" customFormat="false" ht="15" hidden="false" customHeight="false" outlineLevel="0" collapsed="false">
      <c r="A112" s="18" t="s">
        <v>376</v>
      </c>
      <c r="B112" s="18" t="s">
        <v>443</v>
      </c>
      <c r="C112" s="18" t="s">
        <v>459</v>
      </c>
      <c r="D112" s="18" t="s">
        <v>460</v>
      </c>
      <c r="E112" s="19" t="s">
        <v>461</v>
      </c>
      <c r="F112" s="20" t="n">
        <v>1</v>
      </c>
      <c r="G112" s="18" t="s">
        <v>90</v>
      </c>
      <c r="H112" s="21" t="n">
        <v>4500</v>
      </c>
      <c r="I112" s="22" t="n">
        <f aca="false">F112*H112</f>
        <v>4500</v>
      </c>
      <c r="J112" s="22" t="n">
        <f aca="false">I112/(1-'Overview &amp; Margins'!$C$9)</f>
        <v>7500</v>
      </c>
      <c r="K112" s="18" t="s">
        <v>462</v>
      </c>
    </row>
    <row r="113" customFormat="false" ht="15" hidden="false" customHeight="false" outlineLevel="0" collapsed="false">
      <c r="A113" s="18" t="s">
        <v>376</v>
      </c>
      <c r="B113" s="18" t="s">
        <v>443</v>
      </c>
      <c r="C113" s="18" t="s">
        <v>463</v>
      </c>
      <c r="D113" s="18" t="s">
        <v>464</v>
      </c>
      <c r="E113" s="19" t="s">
        <v>465</v>
      </c>
      <c r="F113" s="20" t="n">
        <v>1</v>
      </c>
      <c r="G113" s="18" t="s">
        <v>111</v>
      </c>
      <c r="H113" s="21" t="n">
        <v>1500</v>
      </c>
      <c r="I113" s="22" t="n">
        <f aca="false">F113*H113</f>
        <v>1500</v>
      </c>
      <c r="J113" s="22" t="n">
        <f aca="false">I113/(1-'Overview &amp; Margins'!$C$9)</f>
        <v>2500</v>
      </c>
      <c r="K113" s="18" t="s">
        <v>466</v>
      </c>
    </row>
    <row r="114" customFormat="false" ht="15" hidden="false" customHeight="false" outlineLevel="0" collapsed="false">
      <c r="A114" s="18" t="s">
        <v>376</v>
      </c>
      <c r="B114" s="18" t="s">
        <v>443</v>
      </c>
      <c r="C114" s="18" t="s">
        <v>467</v>
      </c>
      <c r="D114" s="18" t="s">
        <v>468</v>
      </c>
      <c r="E114" s="19" t="s">
        <v>469</v>
      </c>
      <c r="F114" s="20" t="n">
        <v>3</v>
      </c>
      <c r="G114" s="18" t="s">
        <v>111</v>
      </c>
      <c r="H114" s="21" t="n">
        <v>1200</v>
      </c>
      <c r="I114" s="22" t="n">
        <f aca="false">F114*H114</f>
        <v>3600</v>
      </c>
      <c r="J114" s="22" t="n">
        <f aca="false">I114/(1-'Overview &amp; Margins'!$C$9)</f>
        <v>6000</v>
      </c>
      <c r="K114" s="18" t="s">
        <v>470</v>
      </c>
    </row>
    <row r="115" customFormat="false" ht="15" hidden="false" customHeight="false" outlineLevel="0" collapsed="false">
      <c r="A115" s="18" t="s">
        <v>376</v>
      </c>
      <c r="B115" s="18" t="s">
        <v>443</v>
      </c>
      <c r="C115" s="18" t="s">
        <v>471</v>
      </c>
      <c r="D115" s="18" t="s">
        <v>472</v>
      </c>
      <c r="E115" s="19" t="s">
        <v>473</v>
      </c>
      <c r="F115" s="20" t="n">
        <v>3</v>
      </c>
      <c r="G115" s="18" t="s">
        <v>111</v>
      </c>
      <c r="H115" s="21" t="n">
        <v>250</v>
      </c>
      <c r="I115" s="22" t="n">
        <f aca="false">F115*H115</f>
        <v>750</v>
      </c>
      <c r="J115" s="22" t="n">
        <f aca="false">I115/(1-'Overview &amp; Margins'!$C$9)</f>
        <v>1250</v>
      </c>
      <c r="K115" s="18" t="s">
        <v>474</v>
      </c>
    </row>
    <row r="116" customFormat="false" ht="15" hidden="false" customHeight="false" outlineLevel="0" collapsed="false">
      <c r="A116" s="18" t="s">
        <v>376</v>
      </c>
      <c r="B116" s="18" t="s">
        <v>475</v>
      </c>
      <c r="C116" s="18" t="s">
        <v>476</v>
      </c>
      <c r="D116" s="18" t="s">
        <v>477</v>
      </c>
      <c r="E116" s="19" t="s">
        <v>478</v>
      </c>
      <c r="F116" s="20" t="n">
        <v>37</v>
      </c>
      <c r="G116" s="18" t="s">
        <v>141</v>
      </c>
      <c r="H116" s="21" t="n">
        <v>85</v>
      </c>
      <c r="I116" s="22" t="n">
        <f aca="false">F116*H116</f>
        <v>3145</v>
      </c>
      <c r="J116" s="22" t="n">
        <f aca="false">I116/(1-'Overview &amp; Margins'!$C$9)</f>
        <v>5241.66666666667</v>
      </c>
      <c r="K116" s="18"/>
    </row>
    <row r="117" customFormat="false" ht="15" hidden="false" customHeight="false" outlineLevel="0" collapsed="false">
      <c r="A117" s="18" t="s">
        <v>376</v>
      </c>
      <c r="B117" s="18" t="s">
        <v>475</v>
      </c>
      <c r="C117" s="18" t="s">
        <v>479</v>
      </c>
      <c r="D117" s="18" t="s">
        <v>480</v>
      </c>
      <c r="E117" s="19" t="s">
        <v>481</v>
      </c>
      <c r="F117" s="20" t="n">
        <v>40</v>
      </c>
      <c r="G117" s="18" t="s">
        <v>190</v>
      </c>
      <c r="H117" s="21" t="n">
        <v>65</v>
      </c>
      <c r="I117" s="22" t="n">
        <f aca="false">F117*H117</f>
        <v>2600</v>
      </c>
      <c r="J117" s="22" t="n">
        <f aca="false">I117/(1-'Overview &amp; Margins'!$C$9)</f>
        <v>4333.33333333333</v>
      </c>
      <c r="K117" s="18"/>
    </row>
    <row r="118" customFormat="false" ht="15" hidden="false" customHeight="false" outlineLevel="0" collapsed="false">
      <c r="A118" s="18" t="s">
        <v>376</v>
      </c>
      <c r="B118" s="18" t="s">
        <v>475</v>
      </c>
      <c r="C118" s="18" t="s">
        <v>482</v>
      </c>
      <c r="D118" s="18" t="s">
        <v>483</v>
      </c>
      <c r="E118" s="19" t="s">
        <v>484</v>
      </c>
      <c r="F118" s="20" t="n">
        <v>40</v>
      </c>
      <c r="G118" s="18" t="s">
        <v>190</v>
      </c>
      <c r="H118" s="21" t="n">
        <v>45</v>
      </c>
      <c r="I118" s="22" t="n">
        <f aca="false">F118*H118</f>
        <v>1800</v>
      </c>
      <c r="J118" s="22" t="n">
        <f aca="false">I118/(1-'Overview &amp; Margins'!$C$9)</f>
        <v>3000</v>
      </c>
      <c r="K118" s="18"/>
    </row>
    <row r="119" customFormat="false" ht="15" hidden="false" customHeight="false" outlineLevel="0" collapsed="false">
      <c r="A119" s="18" t="s">
        <v>376</v>
      </c>
      <c r="B119" s="18" t="s">
        <v>475</v>
      </c>
      <c r="C119" s="18" t="s">
        <v>485</v>
      </c>
      <c r="D119" s="18" t="s">
        <v>486</v>
      </c>
      <c r="E119" s="19" t="s">
        <v>487</v>
      </c>
      <c r="F119" s="20" t="n">
        <v>880</v>
      </c>
      <c r="G119" s="18" t="s">
        <v>190</v>
      </c>
      <c r="H119" s="21" t="n">
        <v>8</v>
      </c>
      <c r="I119" s="22" t="n">
        <f aca="false">F119*H119</f>
        <v>7040</v>
      </c>
      <c r="J119" s="22" t="n">
        <f aca="false">I119/(1-'Overview &amp; Margins'!$C$9)</f>
        <v>11733.3333333333</v>
      </c>
      <c r="K119" s="18" t="s">
        <v>410</v>
      </c>
    </row>
    <row r="120" customFormat="false" ht="15" hidden="false" customHeight="false" outlineLevel="0" collapsed="false">
      <c r="A120" s="18" t="s">
        <v>376</v>
      </c>
      <c r="B120" s="18" t="s">
        <v>475</v>
      </c>
      <c r="C120" s="18" t="s">
        <v>488</v>
      </c>
      <c r="D120" s="18" t="s">
        <v>489</v>
      </c>
      <c r="E120" s="19" t="s">
        <v>490</v>
      </c>
      <c r="F120" s="20" t="n">
        <v>5000</v>
      </c>
      <c r="G120" s="18" t="s">
        <v>190</v>
      </c>
      <c r="H120" s="21" t="n">
        <v>1.25</v>
      </c>
      <c r="I120" s="22" t="n">
        <f aca="false">F120*H120</f>
        <v>6250</v>
      </c>
      <c r="J120" s="22" t="n">
        <f aca="false">I120/(1-'Overview &amp; Margins'!$C$9)</f>
        <v>10416.6666666667</v>
      </c>
      <c r="K120" s="18" t="s">
        <v>491</v>
      </c>
    </row>
    <row r="121" customFormat="false" ht="15" hidden="false" customHeight="false" outlineLevel="0" collapsed="false">
      <c r="A121" s="18" t="s">
        <v>376</v>
      </c>
      <c r="B121" s="18" t="s">
        <v>475</v>
      </c>
      <c r="C121" s="18" t="s">
        <v>492</v>
      </c>
      <c r="D121" s="18" t="s">
        <v>493</v>
      </c>
      <c r="E121" s="19" t="s">
        <v>494</v>
      </c>
      <c r="F121" s="20" t="n">
        <v>5000</v>
      </c>
      <c r="G121" s="18" t="s">
        <v>190</v>
      </c>
      <c r="H121" s="21" t="n">
        <v>1</v>
      </c>
      <c r="I121" s="22" t="n">
        <f aca="false">F121*H121</f>
        <v>5000</v>
      </c>
      <c r="J121" s="22" t="n">
        <f aca="false">I121/(1-'Overview &amp; Margins'!$C$9)</f>
        <v>8333.33333333333</v>
      </c>
      <c r="K121" s="18" t="s">
        <v>349</v>
      </c>
    </row>
    <row r="122" customFormat="false" ht="15" hidden="false" customHeight="false" outlineLevel="0" collapsed="false">
      <c r="A122" s="18" t="s">
        <v>495</v>
      </c>
      <c r="B122" s="18" t="s">
        <v>496</v>
      </c>
      <c r="C122" s="18" t="s">
        <v>134</v>
      </c>
      <c r="D122" s="18" t="s">
        <v>135</v>
      </c>
      <c r="E122" s="19" t="s">
        <v>497</v>
      </c>
      <c r="F122" s="20" t="n">
        <v>3</v>
      </c>
      <c r="G122" s="18" t="s">
        <v>137</v>
      </c>
      <c r="H122" s="21" t="n">
        <v>12000</v>
      </c>
      <c r="I122" s="22" t="n">
        <f aca="false">F122*H122</f>
        <v>36000</v>
      </c>
      <c r="J122" s="22" t="n">
        <f aca="false">I122/(1-'Overview &amp; Margins'!$C$9)</f>
        <v>60000</v>
      </c>
      <c r="K122" s="18"/>
    </row>
    <row r="123" customFormat="false" ht="15" hidden="false" customHeight="false" outlineLevel="0" collapsed="false">
      <c r="A123" s="18" t="s">
        <v>495</v>
      </c>
      <c r="B123" s="18" t="s">
        <v>496</v>
      </c>
      <c r="C123" s="18" t="s">
        <v>161</v>
      </c>
      <c r="D123" s="18" t="s">
        <v>162</v>
      </c>
      <c r="E123" s="19" t="s">
        <v>498</v>
      </c>
      <c r="F123" s="20" t="n">
        <v>2</v>
      </c>
      <c r="G123" s="18" t="s">
        <v>137</v>
      </c>
      <c r="H123" s="21" t="n">
        <v>1800</v>
      </c>
      <c r="I123" s="22" t="n">
        <f aca="false">F123*H123</f>
        <v>3600</v>
      </c>
      <c r="J123" s="22" t="n">
        <f aca="false">I123/(1-'Overview &amp; Margins'!$C$9)</f>
        <v>6000</v>
      </c>
      <c r="K123" s="18"/>
    </row>
    <row r="124" customFormat="false" ht="15" hidden="false" customHeight="false" outlineLevel="0" collapsed="false">
      <c r="A124" s="18" t="s">
        <v>495</v>
      </c>
      <c r="B124" s="18" t="s">
        <v>496</v>
      </c>
      <c r="C124" s="18" t="s">
        <v>499</v>
      </c>
      <c r="D124" s="18" t="s">
        <v>500</v>
      </c>
      <c r="E124" s="19" t="s">
        <v>501</v>
      </c>
      <c r="F124" s="20" t="n">
        <v>1</v>
      </c>
      <c r="G124" s="18" t="s">
        <v>90</v>
      </c>
      <c r="H124" s="21" t="n">
        <v>1800</v>
      </c>
      <c r="I124" s="22" t="n">
        <f aca="false">F124*H124</f>
        <v>1800</v>
      </c>
      <c r="J124" s="22" t="n">
        <f aca="false">I124/(1-'Overview &amp; Margins'!$C$9)</f>
        <v>3000</v>
      </c>
      <c r="K124" s="18"/>
    </row>
    <row r="125" customFormat="false" ht="15" hidden="false" customHeight="false" outlineLevel="0" collapsed="false">
      <c r="A125" s="18" t="s">
        <v>495</v>
      </c>
      <c r="B125" s="18" t="s">
        <v>496</v>
      </c>
      <c r="C125" s="18" t="s">
        <v>502</v>
      </c>
      <c r="D125" s="18" t="s">
        <v>503</v>
      </c>
      <c r="E125" s="19" t="s">
        <v>504</v>
      </c>
      <c r="F125" s="20" t="n">
        <v>2500</v>
      </c>
      <c r="G125" s="18" t="s">
        <v>190</v>
      </c>
      <c r="H125" s="21" t="n">
        <v>4.5</v>
      </c>
      <c r="I125" s="22" t="n">
        <f aca="false">F125*H125</f>
        <v>11250</v>
      </c>
      <c r="J125" s="22" t="n">
        <f aca="false">I125/(1-'Overview &amp; Margins'!$C$9)</f>
        <v>18750</v>
      </c>
      <c r="K125" s="18"/>
    </row>
    <row r="126" customFormat="false" ht="15" hidden="false" customHeight="false" outlineLevel="0" collapsed="false">
      <c r="A126" s="18" t="s">
        <v>495</v>
      </c>
      <c r="B126" s="18" t="s">
        <v>496</v>
      </c>
      <c r="C126" s="18" t="s">
        <v>505</v>
      </c>
      <c r="D126" s="18" t="s">
        <v>506</v>
      </c>
      <c r="E126" s="19" t="s">
        <v>507</v>
      </c>
      <c r="F126" s="20" t="n">
        <v>1</v>
      </c>
      <c r="G126" s="18" t="s">
        <v>90</v>
      </c>
      <c r="H126" s="21" t="n">
        <v>1800</v>
      </c>
      <c r="I126" s="22" t="n">
        <f aca="false">F126*H126</f>
        <v>1800</v>
      </c>
      <c r="J126" s="22" t="n">
        <f aca="false">I126/(1-'Overview &amp; Margins'!$C$9)</f>
        <v>3000</v>
      </c>
      <c r="K126" s="18"/>
    </row>
    <row r="127" customFormat="false" ht="15" hidden="false" customHeight="false" outlineLevel="0" collapsed="false">
      <c r="A127" s="18" t="s">
        <v>495</v>
      </c>
      <c r="B127" s="18" t="s">
        <v>496</v>
      </c>
      <c r="C127" s="18" t="s">
        <v>508</v>
      </c>
      <c r="D127" s="18" t="s">
        <v>509</v>
      </c>
      <c r="E127" s="19" t="s">
        <v>510</v>
      </c>
      <c r="F127" s="20" t="n">
        <v>1</v>
      </c>
      <c r="G127" s="18" t="s">
        <v>90</v>
      </c>
      <c r="H127" s="21" t="n">
        <v>1200</v>
      </c>
      <c r="I127" s="22" t="n">
        <f aca="false">F127*H127</f>
        <v>1200</v>
      </c>
      <c r="J127" s="22" t="n">
        <f aca="false">I127/(1-'Overview &amp; Margins'!$C$9)</f>
        <v>2000</v>
      </c>
      <c r="K127" s="18"/>
    </row>
    <row r="128" customFormat="false" ht="15" hidden="false" customHeight="false" outlineLevel="0" collapsed="false">
      <c r="A128" s="18" t="s">
        <v>495</v>
      </c>
      <c r="B128" s="18" t="s">
        <v>496</v>
      </c>
      <c r="C128" s="18" t="s">
        <v>511</v>
      </c>
      <c r="D128" s="18" t="s">
        <v>512</v>
      </c>
      <c r="E128" s="19" t="s">
        <v>513</v>
      </c>
      <c r="F128" s="20" t="n">
        <v>1</v>
      </c>
      <c r="G128" s="18" t="s">
        <v>90</v>
      </c>
      <c r="H128" s="21" t="n">
        <v>2500</v>
      </c>
      <c r="I128" s="22" t="n">
        <f aca="false">F128*H128</f>
        <v>2500</v>
      </c>
      <c r="J128" s="22" t="n">
        <f aca="false">I128/(1-'Overview &amp; Margins'!$C$9)</f>
        <v>4166.66666666667</v>
      </c>
      <c r="K128" s="18"/>
    </row>
    <row r="129" customFormat="false" ht="15" hidden="false" customHeight="false" outlineLevel="0" collapsed="false">
      <c r="A129" s="18" t="s">
        <v>495</v>
      </c>
      <c r="B129" s="18" t="s">
        <v>496</v>
      </c>
      <c r="C129" s="18" t="s">
        <v>514</v>
      </c>
      <c r="D129" s="18" t="s">
        <v>515</v>
      </c>
      <c r="E129" s="19" t="s">
        <v>516</v>
      </c>
      <c r="F129" s="20" t="n">
        <v>1</v>
      </c>
      <c r="G129" s="18" t="s">
        <v>90</v>
      </c>
      <c r="H129" s="21" t="n">
        <v>1500</v>
      </c>
      <c r="I129" s="22" t="n">
        <f aca="false">F129*H129</f>
        <v>1500</v>
      </c>
      <c r="J129" s="22" t="n">
        <f aca="false">I129/(1-'Overview &amp; Margins'!$C$9)</f>
        <v>2500</v>
      </c>
      <c r="K129" s="18"/>
    </row>
    <row r="130" customFormat="false" ht="15" hidden="false" customHeight="false" outlineLevel="0" collapsed="false">
      <c r="A130" s="18" t="s">
        <v>495</v>
      </c>
      <c r="B130" s="18" t="s">
        <v>496</v>
      </c>
      <c r="C130" s="18" t="s">
        <v>517</v>
      </c>
      <c r="D130" s="18" t="s">
        <v>518</v>
      </c>
      <c r="E130" s="19" t="s">
        <v>519</v>
      </c>
      <c r="F130" s="20" t="n">
        <v>1</v>
      </c>
      <c r="G130" s="18" t="s">
        <v>90</v>
      </c>
      <c r="H130" s="21" t="n">
        <v>4500</v>
      </c>
      <c r="I130" s="22" t="n">
        <f aca="false">F130*H130</f>
        <v>4500</v>
      </c>
      <c r="J130" s="22" t="n">
        <f aca="false">I130/(1-'Overview &amp; Margins'!$C$9)</f>
        <v>7500</v>
      </c>
      <c r="K130" s="18"/>
    </row>
    <row r="131" customFormat="false" ht="15" hidden="false" customHeight="false" outlineLevel="0" collapsed="false">
      <c r="A131" s="18" t="s">
        <v>495</v>
      </c>
      <c r="B131" s="18" t="s">
        <v>496</v>
      </c>
      <c r="C131" s="18" t="s">
        <v>520</v>
      </c>
      <c r="D131" s="18" t="s">
        <v>521</v>
      </c>
      <c r="E131" s="19" t="s">
        <v>522</v>
      </c>
      <c r="F131" s="20" t="n">
        <v>1</v>
      </c>
      <c r="G131" s="18" t="s">
        <v>90</v>
      </c>
      <c r="H131" s="21" t="n">
        <v>8500</v>
      </c>
      <c r="I131" s="22" t="n">
        <f aca="false">F131*H131</f>
        <v>8500</v>
      </c>
      <c r="J131" s="22" t="n">
        <f aca="false">I131/(1-'Overview &amp; Margins'!$C$9)</f>
        <v>14166.6666666667</v>
      </c>
      <c r="K131" s="18"/>
    </row>
    <row r="132" customFormat="false" ht="15" hidden="false" customHeight="false" outlineLevel="0" collapsed="false">
      <c r="A132" s="18" t="s">
        <v>495</v>
      </c>
      <c r="B132" s="18" t="s">
        <v>496</v>
      </c>
      <c r="C132" s="18" t="s">
        <v>523</v>
      </c>
      <c r="D132" s="18" t="s">
        <v>524</v>
      </c>
      <c r="E132" s="19" t="s">
        <v>525</v>
      </c>
      <c r="F132" s="20" t="n">
        <v>1</v>
      </c>
      <c r="G132" s="18" t="s">
        <v>90</v>
      </c>
      <c r="H132" s="21" t="n">
        <v>12000</v>
      </c>
      <c r="I132" s="22" t="n">
        <f aca="false">F132*H132</f>
        <v>12000</v>
      </c>
      <c r="J132" s="22" t="n">
        <f aca="false">I132/(1-'Overview &amp; Margins'!$C$9)</f>
        <v>20000</v>
      </c>
      <c r="K132" s="18"/>
    </row>
    <row r="134" customFormat="false" ht="15" hidden="false" customHeight="false" outlineLevel="0" collapsed="false">
      <c r="H134" s="4" t="s">
        <v>526</v>
      </c>
      <c r="I134" s="23" t="n">
        <f aca="false">SUM(I2:I132)</f>
        <v>1311149</v>
      </c>
      <c r="J134" s="23" t="n">
        <f aca="false">SUM(J2:J132)</f>
        <v>2137248.33333333</v>
      </c>
    </row>
    <row r="136" customFormat="false" ht="15" hidden="false" customHeight="false" outlineLevel="0" collapsed="false">
      <c r="A136" s="2" t="s">
        <v>527</v>
      </c>
    </row>
  </sheetData>
  <autoFilter ref="A1:K13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528</v>
      </c>
    </row>
    <row r="2" customFormat="false" ht="15" hidden="false" customHeight="false" outlineLevel="0" collapsed="false">
      <c r="A2" s="2" t="s">
        <v>529</v>
      </c>
    </row>
    <row r="4" customFormat="false" ht="15" hidden="false" customHeight="false" outlineLevel="0" collapsed="false">
      <c r="A4" s="24" t="s">
        <v>530</v>
      </c>
    </row>
    <row r="5" customFormat="false" ht="15" hidden="false" customHeight="false" outlineLevel="0" collapsed="false">
      <c r="A5" s="12" t="s">
        <v>77</v>
      </c>
      <c r="B5" s="12" t="s">
        <v>36</v>
      </c>
      <c r="C5" s="12" t="s">
        <v>37</v>
      </c>
      <c r="D5" s="12" t="s">
        <v>38</v>
      </c>
      <c r="E5" s="12" t="s">
        <v>531</v>
      </c>
      <c r="F5" s="12" t="s">
        <v>51</v>
      </c>
    </row>
    <row r="6" customFormat="false" ht="15" hidden="false" customHeight="false" outlineLevel="0" collapsed="false">
      <c r="A6" s="25" t="s">
        <v>86</v>
      </c>
      <c r="B6" s="13" t="n">
        <f aca="false">SUMIFS('Line Items'!$I$2:$I$132,'Line Items'!$B$2:$B$132,A6)</f>
        <v>12000</v>
      </c>
      <c r="C6" s="13" t="n">
        <f aca="false">B6</f>
        <v>12000</v>
      </c>
      <c r="D6" s="13" t="n">
        <f aca="false">C6-B6</f>
        <v>0</v>
      </c>
      <c r="E6" s="14" t="n">
        <f aca="false">IF($C$9=0,0,C6/$C$9)</f>
        <v>0.166666666666667</v>
      </c>
      <c r="F6" s="13" t="n">
        <f aca="false">C6/'Overview &amp; Margins'!$C$20</f>
        <v>4.09556313993174</v>
      </c>
    </row>
    <row r="7" customFormat="false" ht="15" hidden="false" customHeight="false" outlineLevel="0" collapsed="false">
      <c r="A7" s="26" t="s">
        <v>91</v>
      </c>
      <c r="B7" s="27" t="n">
        <f aca="false">SUMIFS('Line Items'!$I$2:$I$132,'Line Items'!$B$2:$B$132,A7)</f>
        <v>45000</v>
      </c>
      <c r="C7" s="27" t="n">
        <f aca="false">B7</f>
        <v>45000</v>
      </c>
      <c r="D7" s="27" t="n">
        <f aca="false">C7-B7</f>
        <v>0</v>
      </c>
      <c r="E7" s="28" t="n">
        <f aca="false">IF($C$9=0,0,C7/$C$9)</f>
        <v>0.625</v>
      </c>
      <c r="F7" s="27" t="n">
        <f aca="false">C7/'Overview &amp; Margins'!$C$20</f>
        <v>15.358361774744</v>
      </c>
    </row>
    <row r="8" customFormat="false" ht="15" hidden="false" customHeight="false" outlineLevel="0" collapsed="false">
      <c r="A8" s="25" t="s">
        <v>96</v>
      </c>
      <c r="B8" s="13" t="n">
        <f aca="false">SUMIFS('Line Items'!$I$2:$I$132,'Line Items'!$B$2:$B$132,A8)</f>
        <v>15000</v>
      </c>
      <c r="C8" s="13" t="n">
        <f aca="false">B8</f>
        <v>15000</v>
      </c>
      <c r="D8" s="13" t="n">
        <f aca="false">C8-B8</f>
        <v>0</v>
      </c>
      <c r="E8" s="14" t="n">
        <f aca="false">IF($C$9=0,0,C8/$C$9)</f>
        <v>0.208333333333333</v>
      </c>
      <c r="F8" s="13" t="n">
        <f aca="false">C8/'Overview &amp; Margins'!$C$20</f>
        <v>5.11945392491468</v>
      </c>
    </row>
    <row r="9" customFormat="false" ht="15" hidden="false" customHeight="false" outlineLevel="0" collapsed="false">
      <c r="A9" s="29" t="s">
        <v>532</v>
      </c>
      <c r="B9" s="15" t="n">
        <f aca="false">SUM(B6:B8)</f>
        <v>72000</v>
      </c>
      <c r="C9" s="15" t="n">
        <f aca="false">SUM(C6:C8)</f>
        <v>72000</v>
      </c>
      <c r="D9" s="15" t="n">
        <f aca="false">C9-B9</f>
        <v>0</v>
      </c>
      <c r="E9" s="16" t="n">
        <f aca="false">IF($C$9=0,0,C9/$C$9)</f>
        <v>1</v>
      </c>
      <c r="F9" s="15" t="n">
        <f aca="false">C9/'Overview &amp; Margins'!$C$20</f>
        <v>24.5733788395904</v>
      </c>
    </row>
    <row r="11" customFormat="false" ht="15" hidden="false" customHeight="false" outlineLevel="0" collapsed="false">
      <c r="A11" s="24" t="s">
        <v>533</v>
      </c>
    </row>
    <row r="12" customFormat="false" ht="15" hidden="false" customHeight="false" outlineLevel="0" collapsed="false">
      <c r="A12" s="12" t="s">
        <v>77</v>
      </c>
      <c r="B12" s="12" t="s">
        <v>36</v>
      </c>
      <c r="C12" s="12" t="s">
        <v>37</v>
      </c>
      <c r="D12" s="12" t="s">
        <v>38</v>
      </c>
      <c r="E12" s="12" t="s">
        <v>531</v>
      </c>
      <c r="F12" s="12" t="s">
        <v>51</v>
      </c>
    </row>
    <row r="13" customFormat="false" ht="15" hidden="false" customHeight="false" outlineLevel="0" collapsed="false">
      <c r="A13" s="25" t="s">
        <v>101</v>
      </c>
      <c r="B13" s="13" t="n">
        <f aca="false">SUMIFS('Line Items'!$I$2:$I$132,'Line Items'!$B$2:$B$132,A13)</f>
        <v>43800</v>
      </c>
      <c r="C13" s="13" t="n">
        <f aca="false">B13/(1-'Overview &amp; Margins'!$C$9)</f>
        <v>73000</v>
      </c>
      <c r="D13" s="13" t="n">
        <f aca="false">C13-B13</f>
        <v>29200</v>
      </c>
      <c r="E13" s="14" t="n">
        <f aca="false">IF($C$30=0,0,C13/$C$30)</f>
        <v>0.0422346375664228</v>
      </c>
      <c r="F13" s="13" t="n">
        <f aca="false">C13/'Overview &amp; Margins'!$C$20</f>
        <v>24.9146757679181</v>
      </c>
    </row>
    <row r="14" customFormat="false" ht="15" hidden="false" customHeight="false" outlineLevel="0" collapsed="false">
      <c r="A14" s="26" t="s">
        <v>130</v>
      </c>
      <c r="B14" s="27" t="n">
        <f aca="false">SUMIFS('Line Items'!$I$2:$I$132,'Line Items'!$B$2:$B$132,A14)</f>
        <v>134750</v>
      </c>
      <c r="C14" s="27" t="n">
        <f aca="false">B14/(1-'Overview &amp; Margins'!$C$9)</f>
        <v>224583.333333333</v>
      </c>
      <c r="D14" s="27" t="n">
        <f aca="false">C14-B14</f>
        <v>89833.3333333333</v>
      </c>
      <c r="E14" s="28" t="n">
        <f aca="false">IF($C$30=0,0,C14/$C$30)</f>
        <v>0.129934187490308</v>
      </c>
      <c r="F14" s="27" t="n">
        <f aca="false">C14/'Overview &amp; Margins'!$C$20</f>
        <v>76.6496018202503</v>
      </c>
    </row>
    <row r="15" customFormat="false" ht="15" hidden="false" customHeight="false" outlineLevel="0" collapsed="false">
      <c r="A15" s="25" t="s">
        <v>182</v>
      </c>
      <c r="B15" s="13" t="n">
        <f aca="false">SUMIFS('Line Items'!$I$2:$I$132,'Line Items'!$B$2:$B$132,A15)</f>
        <v>35600</v>
      </c>
      <c r="C15" s="13" t="n">
        <f aca="false">B15/(1-'Overview &amp; Margins'!$C$9)</f>
        <v>59333.3333333333</v>
      </c>
      <c r="D15" s="13" t="n">
        <f aca="false">C15-B15</f>
        <v>23733.3333333333</v>
      </c>
      <c r="E15" s="14" t="n">
        <f aca="false">IF($C$30=0,0,C15/$C$30)</f>
        <v>0.0343276962868642</v>
      </c>
      <c r="F15" s="13" t="n">
        <f aca="false">C15/'Overview &amp; Margins'!$C$20</f>
        <v>20.2502844141069</v>
      </c>
    </row>
    <row r="16" customFormat="false" ht="15" hidden="false" customHeight="false" outlineLevel="0" collapsed="false">
      <c r="A16" s="26" t="s">
        <v>194</v>
      </c>
      <c r="B16" s="27" t="n">
        <f aca="false">SUMIFS('Line Items'!$I$2:$I$132,'Line Items'!$B$2:$B$132,A16)</f>
        <v>35270</v>
      </c>
      <c r="C16" s="27" t="n">
        <f aca="false">B16/(1-'Overview &amp; Margins'!$C$9)</f>
        <v>58783.3333333333</v>
      </c>
      <c r="D16" s="27" t="n">
        <f aca="false">C16-B16</f>
        <v>23513.3333333333</v>
      </c>
      <c r="E16" s="28" t="n">
        <f aca="false">IF($C$30=0,0,C16/$C$30)</f>
        <v>0.0340094901134186</v>
      </c>
      <c r="F16" s="27" t="n">
        <f aca="false">C16/'Overview &amp; Margins'!$C$20</f>
        <v>20.0625711035267</v>
      </c>
    </row>
    <row r="17" customFormat="false" ht="15" hidden="false" customHeight="false" outlineLevel="0" collapsed="false">
      <c r="A17" s="25" t="s">
        <v>208</v>
      </c>
      <c r="B17" s="13" t="n">
        <f aca="false">SUMIFS('Line Items'!$I$2:$I$132,'Line Items'!$B$2:$B$132,A17)</f>
        <v>93988</v>
      </c>
      <c r="C17" s="13" t="n">
        <f aca="false">B17/(1-'Overview &amp; Margins'!$C$9)</f>
        <v>156646.666666667</v>
      </c>
      <c r="D17" s="13" t="n">
        <f aca="false">C17-B17</f>
        <v>62658.6666666667</v>
      </c>
      <c r="E17" s="14" t="n">
        <f aca="false">IF($C$30=0,0,C17/$C$30)</f>
        <v>0.0906289752418482</v>
      </c>
      <c r="F17" s="13" t="n">
        <f aca="false">C17/'Overview &amp; Margins'!$C$20</f>
        <v>53.4630261660979</v>
      </c>
    </row>
    <row r="18" customFormat="false" ht="15" hidden="false" customHeight="false" outlineLevel="0" collapsed="false">
      <c r="A18" s="26" t="s">
        <v>229</v>
      </c>
      <c r="B18" s="27" t="n">
        <f aca="false">SUMIFS('Line Items'!$I$2:$I$132,'Line Items'!$B$2:$B$132,A18)</f>
        <v>29904</v>
      </c>
      <c r="C18" s="27" t="n">
        <f aca="false">B18/(1-'Overview &amp; Margins'!$C$9)</f>
        <v>49840</v>
      </c>
      <c r="D18" s="27" t="n">
        <f aca="false">C18-B18</f>
        <v>19936</v>
      </c>
      <c r="E18" s="28" t="n">
        <f aca="false">IF($C$30=0,0,C18/$C$30)</f>
        <v>0.0288352648809659</v>
      </c>
      <c r="F18" s="27" t="n">
        <f aca="false">C18/'Overview &amp; Margins'!$C$20</f>
        <v>17.0102389078498</v>
      </c>
    </row>
    <row r="19" customFormat="false" ht="15" hidden="false" customHeight="false" outlineLevel="0" collapsed="false">
      <c r="A19" s="25" t="s">
        <v>237</v>
      </c>
      <c r="B19" s="13" t="n">
        <f aca="false">SUMIFS('Line Items'!$I$2:$I$132,'Line Items'!$B$2:$B$132,A19)</f>
        <v>181384</v>
      </c>
      <c r="C19" s="13" t="n">
        <f aca="false">B19/(1-'Overview &amp; Margins'!$C$9)</f>
        <v>302306.666666667</v>
      </c>
      <c r="D19" s="13" t="n">
        <f aca="false">C19-B19</f>
        <v>120922.666666667</v>
      </c>
      <c r="E19" s="14" t="n">
        <f aca="false">IF($C$30=0,0,C19/$C$30)</f>
        <v>0.174901541103837</v>
      </c>
      <c r="F19" s="13" t="n">
        <f aca="false">C19/'Overview &amp; Margins'!$C$20</f>
        <v>103.176336746303</v>
      </c>
    </row>
    <row r="20" customFormat="false" ht="15" hidden="false" customHeight="false" outlineLevel="0" collapsed="false">
      <c r="A20" s="26" t="s">
        <v>254</v>
      </c>
      <c r="B20" s="27" t="n">
        <f aca="false">SUMIFS('Line Items'!$I$2:$I$132,'Line Items'!$B$2:$B$132,A20)</f>
        <v>43745</v>
      </c>
      <c r="C20" s="27" t="n">
        <f aca="false">B20/(1-'Overview &amp; Margins'!$C$9)</f>
        <v>72908.3333333333</v>
      </c>
      <c r="D20" s="27" t="n">
        <f aca="false">C20-B20</f>
        <v>29163.3333333333</v>
      </c>
      <c r="E20" s="28" t="n">
        <f aca="false">IF($C$30=0,0,C20/$C$30)</f>
        <v>0.0421816032041819</v>
      </c>
      <c r="F20" s="27" t="n">
        <f aca="false">C20/'Overview &amp; Margins'!$C$20</f>
        <v>24.8833902161547</v>
      </c>
    </row>
    <row r="21" customFormat="false" ht="15" hidden="false" customHeight="false" outlineLevel="0" collapsed="false">
      <c r="A21" s="25" t="s">
        <v>273</v>
      </c>
      <c r="B21" s="13" t="n">
        <f aca="false">SUMIFS('Line Items'!$I$2:$I$132,'Line Items'!$B$2:$B$132,A21)</f>
        <v>32984</v>
      </c>
      <c r="C21" s="13" t="n">
        <f aca="false">B21/(1-'Overview &amp; Margins'!$C$9)</f>
        <v>54973.3333333333</v>
      </c>
      <c r="D21" s="13" t="n">
        <f aca="false">C21-B21</f>
        <v>21989.3333333333</v>
      </c>
      <c r="E21" s="14" t="n">
        <f aca="false">IF($C$30=0,0,C21/$C$30)</f>
        <v>0.0318051891664587</v>
      </c>
      <c r="F21" s="13" t="n">
        <f aca="false">C21/'Overview &amp; Margins'!$C$20</f>
        <v>18.7622298065984</v>
      </c>
    </row>
    <row r="22" customFormat="false" ht="15" hidden="false" customHeight="false" outlineLevel="0" collapsed="false">
      <c r="A22" s="26" t="s">
        <v>290</v>
      </c>
      <c r="B22" s="27" t="n">
        <f aca="false">SUMIFS('Line Items'!$I$2:$I$132,'Line Items'!$B$2:$B$132,A22)</f>
        <v>162940</v>
      </c>
      <c r="C22" s="27" t="n">
        <f aca="false">B22/(1-'Overview &amp; Margins'!$C$9)</f>
        <v>271566.666666667</v>
      </c>
      <c r="D22" s="27" t="n">
        <f aca="false">C22-B22</f>
        <v>108626.666666667</v>
      </c>
      <c r="E22" s="28" t="n">
        <f aca="false">IF($C$30=0,0,C22/$C$30)</f>
        <v>0.15711670879162</v>
      </c>
      <c r="F22" s="27" t="n">
        <f aca="false">C22/'Overview &amp; Margins'!$C$20</f>
        <v>92.6848691695108</v>
      </c>
    </row>
    <row r="23" customFormat="false" ht="15" hidden="false" customHeight="false" outlineLevel="0" collapsed="false">
      <c r="A23" s="25" t="s">
        <v>303</v>
      </c>
      <c r="B23" s="13" t="n">
        <f aca="false">SUMIFS('Line Items'!$I$2:$I$132,'Line Items'!$B$2:$B$132,A23)</f>
        <v>30500</v>
      </c>
      <c r="C23" s="13" t="n">
        <f aca="false">B23/(1-'Overview &amp; Margins'!$C$9)</f>
        <v>50833.3333333333</v>
      </c>
      <c r="D23" s="13" t="n">
        <f aca="false">C23-B23</f>
        <v>20333.3333333333</v>
      </c>
      <c r="E23" s="14" t="n">
        <f aca="false">IF($C$30=0,0,C23/$C$30)</f>
        <v>0.0294099645154314</v>
      </c>
      <c r="F23" s="13" t="n">
        <f aca="false">C23/'Overview &amp; Margins'!$C$20</f>
        <v>17.349260523322</v>
      </c>
    </row>
    <row r="24" customFormat="false" ht="15" hidden="false" customHeight="false" outlineLevel="0" collapsed="false">
      <c r="A24" s="26" t="s">
        <v>313</v>
      </c>
      <c r="B24" s="27" t="n">
        <f aca="false">SUMIFS('Line Items'!$I$2:$I$132,'Line Items'!$B$2:$B$132,A24)</f>
        <v>36500</v>
      </c>
      <c r="C24" s="27" t="n">
        <f aca="false">B24/(1-'Overview &amp; Margins'!$C$9)</f>
        <v>60833.3333333333</v>
      </c>
      <c r="D24" s="27" t="n">
        <f aca="false">C24-B24</f>
        <v>24333.3333333333</v>
      </c>
      <c r="E24" s="28" t="n">
        <f aca="false">IF($C$30=0,0,C24/$C$30)</f>
        <v>0.0351955313053524</v>
      </c>
      <c r="F24" s="27" t="n">
        <f aca="false">C24/'Overview &amp; Margins'!$C$20</f>
        <v>20.7622298065984</v>
      </c>
    </row>
    <row r="25" customFormat="false" ht="15" hidden="false" customHeight="false" outlineLevel="0" collapsed="false">
      <c r="A25" s="25" t="s">
        <v>326</v>
      </c>
      <c r="B25" s="13" t="n">
        <f aca="false">SUMIFS('Line Items'!$I$2:$I$132,'Line Items'!$B$2:$B$132,A25)</f>
        <v>40350</v>
      </c>
      <c r="C25" s="13" t="n">
        <f aca="false">B25/(1-'Overview &amp; Margins'!$C$9)</f>
        <v>67250</v>
      </c>
      <c r="D25" s="13" t="n">
        <f aca="false">C25-B25</f>
        <v>26900</v>
      </c>
      <c r="E25" s="14" t="n">
        <f aca="false">IF($C$30=0,0,C25/$C$30)</f>
        <v>0.0389079366622183</v>
      </c>
      <c r="F25" s="13" t="n">
        <f aca="false">C25/'Overview &amp; Margins'!$C$20</f>
        <v>22.9522184300341</v>
      </c>
    </row>
    <row r="26" customFormat="false" ht="15" hidden="false" customHeight="false" outlineLevel="0" collapsed="false">
      <c r="A26" s="26" t="s">
        <v>342</v>
      </c>
      <c r="B26" s="27" t="n">
        <f aca="false">SUMIFS('Line Items'!$I$2:$I$132,'Line Items'!$B$2:$B$132,A26)</f>
        <v>22127.5</v>
      </c>
      <c r="C26" s="27" t="n">
        <f aca="false">B26/(1-'Overview &amp; Margins'!$C$9)</f>
        <v>36879.1666666667</v>
      </c>
      <c r="D26" s="27" t="n">
        <f aca="false">C26-B26</f>
        <v>14751.6666666667</v>
      </c>
      <c r="E26" s="28" t="n">
        <f aca="false">IF($C$30=0,0,C26/$C$30)</f>
        <v>0.0213366881906626</v>
      </c>
      <c r="F26" s="27" t="n">
        <f aca="false">C26/'Overview &amp; Margins'!$C$20</f>
        <v>12.5867463026166</v>
      </c>
    </row>
    <row r="27" customFormat="false" ht="15" hidden="false" customHeight="false" outlineLevel="0" collapsed="false">
      <c r="A27" s="25" t="s">
        <v>356</v>
      </c>
      <c r="B27" s="13" t="n">
        <f aca="false">SUMIFS('Line Items'!$I$2:$I$132,'Line Items'!$B$2:$B$132,A27)</f>
        <v>53087</v>
      </c>
      <c r="C27" s="13" t="n">
        <f aca="false">B27/(1-'Overview &amp; Margins'!$C$9)</f>
        <v>88478.3333333333</v>
      </c>
      <c r="D27" s="13" t="n">
        <f aca="false">C27-B27</f>
        <v>35391.3333333333</v>
      </c>
      <c r="E27" s="14" t="n">
        <f aca="false">IF($C$30=0,0,C27/$C$30)</f>
        <v>0.0511897306960888</v>
      </c>
      <c r="F27" s="13" t="n">
        <f aca="false">C27/'Overview &amp; Margins'!$C$20</f>
        <v>30.1973833902162</v>
      </c>
    </row>
    <row r="28" customFormat="false" ht="15" hidden="false" customHeight="false" outlineLevel="0" collapsed="false">
      <c r="A28" s="26" t="s">
        <v>363</v>
      </c>
      <c r="B28" s="27" t="n">
        <f aca="false">SUMIFS('Line Items'!$I$2:$I$132,'Line Items'!$B$2:$B$132,A28)</f>
        <v>10750</v>
      </c>
      <c r="C28" s="27" t="n">
        <f aca="false">B28/(1-'Overview &amp; Margins'!$C$9)</f>
        <v>17916.6666666667</v>
      </c>
      <c r="D28" s="27" t="n">
        <f aca="false">C28-B28</f>
        <v>7166.66666666667</v>
      </c>
      <c r="E28" s="28" t="n">
        <f aca="false">IF($C$30=0,0,C28/$C$30)</f>
        <v>0.010365807165275</v>
      </c>
      <c r="F28" s="27" t="n">
        <f aca="false">C28/'Overview &amp; Margins'!$C$20</f>
        <v>6.11490329920364</v>
      </c>
    </row>
    <row r="29" customFormat="false" ht="15" hidden="false" customHeight="false" outlineLevel="0" collapsed="false">
      <c r="A29" s="25" t="s">
        <v>534</v>
      </c>
      <c r="B29" s="13" t="n">
        <f aca="false">'Overview &amp; Margins'!C30</f>
        <v>49383.975</v>
      </c>
      <c r="C29" s="13" t="n">
        <f aca="false">B29/(1-'Overview &amp; Margins'!$C$9)</f>
        <v>82306.625</v>
      </c>
      <c r="D29" s="13" t="n">
        <f aca="false">C29-B29</f>
        <v>32922.65</v>
      </c>
      <c r="E29" s="14" t="n">
        <f aca="false">IF($C$30=0,0,C29/$C$30)</f>
        <v>0.0476190476190476</v>
      </c>
      <c r="F29" s="13" t="n">
        <f aca="false">C29/'Overview &amp; Margins'!$C$20</f>
        <v>28.0909982935154</v>
      </c>
    </row>
    <row r="30" customFormat="false" ht="15" hidden="false" customHeight="false" outlineLevel="0" collapsed="false">
      <c r="A30" s="29" t="s">
        <v>535</v>
      </c>
      <c r="B30" s="15" t="n">
        <f aca="false">SUM(B13:B29)</f>
        <v>1037063.475</v>
      </c>
      <c r="C30" s="15" t="n">
        <f aca="false">SUM(C13:C29)</f>
        <v>1728439.125</v>
      </c>
      <c r="D30" s="15" t="n">
        <f aca="false">C30-B30</f>
        <v>691375.65</v>
      </c>
      <c r="E30" s="16" t="n">
        <f aca="false">IF($C$30=0,0,C30/$C$30)</f>
        <v>1</v>
      </c>
      <c r="F30" s="15" t="n">
        <f aca="false">C30/'Overview &amp; Margins'!$C$20</f>
        <v>589.910964163823</v>
      </c>
    </row>
    <row r="32" customFormat="false" ht="15" hidden="false" customHeight="false" outlineLevel="0" collapsed="false">
      <c r="A32" s="30" t="s">
        <v>44</v>
      </c>
      <c r="B32" s="31" t="n">
        <f aca="false">B9+B30</f>
        <v>1109063.475</v>
      </c>
      <c r="C32" s="31" t="n">
        <f aca="false">C9+C30</f>
        <v>1800439.125</v>
      </c>
      <c r="D32" s="31" t="n">
        <f aca="false">C32-B32</f>
        <v>691375.65</v>
      </c>
    </row>
    <row r="34" customFormat="false" ht="15" hidden="false" customHeight="false" outlineLevel="0" collapsed="false">
      <c r="A34" s="24" t="s">
        <v>536</v>
      </c>
    </row>
    <row r="35" customFormat="false" ht="15" hidden="false" customHeight="false" outlineLevel="0" collapsed="false">
      <c r="A35" s="12" t="s">
        <v>77</v>
      </c>
      <c r="B35" s="12" t="s">
        <v>36</v>
      </c>
      <c r="C35" s="12" t="s">
        <v>37</v>
      </c>
      <c r="D35" s="12" t="s">
        <v>38</v>
      </c>
      <c r="E35" s="12" t="s">
        <v>531</v>
      </c>
      <c r="F35" s="12" t="s">
        <v>51</v>
      </c>
    </row>
    <row r="36" customFormat="false" ht="15" hidden="false" customHeight="false" outlineLevel="0" collapsed="false">
      <c r="A36" s="25" t="s">
        <v>377</v>
      </c>
      <c r="B36" s="13" t="n">
        <f aca="false">SUMIFS('Line Items'!$I$2:$I$132,'Line Items'!$B$2:$B$132,A36)</f>
        <v>10255</v>
      </c>
      <c r="C36" s="13" t="n">
        <f aca="false">B36/(1-'Overview &amp; Margins'!$C$9)</f>
        <v>17091.6666666667</v>
      </c>
      <c r="D36" s="13" t="n">
        <f aca="false">C36-B36</f>
        <v>6836.66666666667</v>
      </c>
      <c r="E36" s="14" t="n">
        <f aca="false">IF($C$43=0,0,C36/$C$43)</f>
        <v>0.0614736286824982</v>
      </c>
      <c r="F36" s="13" t="n">
        <f aca="false">C36/'Overview &amp; Margins'!$C$20</f>
        <v>5.83333333333333</v>
      </c>
    </row>
    <row r="37" customFormat="false" ht="15" hidden="false" customHeight="false" outlineLevel="0" collapsed="false">
      <c r="A37" s="26" t="s">
        <v>381</v>
      </c>
      <c r="B37" s="27" t="n">
        <f aca="false">SUMIFS('Line Items'!$I$2:$I$132,'Line Items'!$B$2:$B$132,A37)</f>
        <v>35590</v>
      </c>
      <c r="C37" s="27" t="n">
        <f aca="false">B37/(1-'Overview &amp; Margins'!$C$9)</f>
        <v>59316.6666666667</v>
      </c>
      <c r="D37" s="27" t="n">
        <f aca="false">C37-B37</f>
        <v>23726.6666666667</v>
      </c>
      <c r="E37" s="28" t="n">
        <f aca="false">IF($C$43=0,0,C37/$C$43)</f>
        <v>0.213344363218928</v>
      </c>
      <c r="F37" s="27" t="n">
        <f aca="false">C37/'Overview &amp; Margins'!$C$20</f>
        <v>20.2445961319681</v>
      </c>
    </row>
    <row r="38" customFormat="false" ht="15" hidden="false" customHeight="false" outlineLevel="0" collapsed="false">
      <c r="A38" s="25" t="s">
        <v>397</v>
      </c>
      <c r="B38" s="13" t="n">
        <f aca="false">SUMIFS('Line Items'!$I$2:$I$132,'Line Items'!$B$2:$B$132,A38)</f>
        <v>34354.5</v>
      </c>
      <c r="C38" s="13" t="n">
        <f aca="false">B38/(1-'Overview &amp; Margins'!$C$9)</f>
        <v>57257.5</v>
      </c>
      <c r="D38" s="13" t="n">
        <f aca="false">C38-B38</f>
        <v>22903</v>
      </c>
      <c r="E38" s="14" t="n">
        <f aca="false">IF($C$43=0,0,C38/$C$43)</f>
        <v>0.205938154712129</v>
      </c>
      <c r="F38" s="13" t="n">
        <f aca="false">C38/'Overview &amp; Margins'!$C$20</f>
        <v>19.5418088737201</v>
      </c>
    </row>
    <row r="39" customFormat="false" ht="15" hidden="false" customHeight="false" outlineLevel="0" collapsed="false">
      <c r="A39" s="26" t="s">
        <v>420</v>
      </c>
      <c r="B39" s="27" t="n">
        <f aca="false">SUMIFS('Line Items'!$I$2:$I$132,'Line Items'!$B$2:$B$132,A39)</f>
        <v>9080</v>
      </c>
      <c r="C39" s="27" t="n">
        <f aca="false">B39/(1-'Overview &amp; Margins'!$C$9)</f>
        <v>15133.3333333333</v>
      </c>
      <c r="D39" s="27" t="n">
        <f aca="false">C39-B39</f>
        <v>6053.33333333333</v>
      </c>
      <c r="E39" s="28" t="n">
        <f aca="false">IF($C$43=0,0,C39/$C$43)</f>
        <v>0.0544300876096619</v>
      </c>
      <c r="F39" s="27" t="n">
        <f aca="false">C39/'Overview &amp; Margins'!$C$20</f>
        <v>5.16496018202503</v>
      </c>
    </row>
    <row r="40" customFormat="false" ht="15" hidden="false" customHeight="false" outlineLevel="0" collapsed="false">
      <c r="A40" s="25" t="s">
        <v>428</v>
      </c>
      <c r="B40" s="13" t="n">
        <f aca="false">SUMIFS('Line Items'!$I$2:$I$132,'Line Items'!$B$2:$B$132,A40)</f>
        <v>21375</v>
      </c>
      <c r="C40" s="13" t="n">
        <f aca="false">B40/(1-'Overview &amp; Margins'!$C$9)</f>
        <v>35625</v>
      </c>
      <c r="D40" s="13" t="n">
        <f aca="false">C40-B40</f>
        <v>14250</v>
      </c>
      <c r="E40" s="14" t="n">
        <f aca="false">IF($C$43=0,0,C40/$C$43)</f>
        <v>0.128132502495212</v>
      </c>
      <c r="F40" s="13" t="n">
        <f aca="false">C40/'Overview &amp; Margins'!$C$20</f>
        <v>12.1587030716724</v>
      </c>
    </row>
    <row r="41" customFormat="false" ht="15" hidden="false" customHeight="false" outlineLevel="0" collapsed="false">
      <c r="A41" s="26" t="s">
        <v>443</v>
      </c>
      <c r="B41" s="27" t="n">
        <f aca="false">SUMIFS('Line Items'!$I$2:$I$132,'Line Items'!$B$2:$B$132,A41)</f>
        <v>30330</v>
      </c>
      <c r="C41" s="27" t="n">
        <f aca="false">B41/(1-'Overview &amp; Margins'!$C$9)</f>
        <v>50550</v>
      </c>
      <c r="D41" s="27" t="n">
        <f aca="false">C41-B41</f>
        <v>20220</v>
      </c>
      <c r="E41" s="28" t="n">
        <f aca="false">IF($C$43=0,0,C41/$C$43)</f>
        <v>0.181813277224785</v>
      </c>
      <c r="F41" s="27" t="n">
        <f aca="false">C41/'Overview &amp; Margins'!$C$20</f>
        <v>17.2525597269625</v>
      </c>
    </row>
    <row r="42" customFormat="false" ht="15" hidden="false" customHeight="false" outlineLevel="0" collapsed="false">
      <c r="A42" s="25" t="s">
        <v>475</v>
      </c>
      <c r="B42" s="13" t="n">
        <f aca="false">SUMIFS('Line Items'!$I$2:$I$132,'Line Items'!$B$2:$B$132,A42)</f>
        <v>25835</v>
      </c>
      <c r="C42" s="13" t="n">
        <f aca="false">B42/(1-'Overview &amp; Margins'!$C$9)</f>
        <v>43058.3333333333</v>
      </c>
      <c r="D42" s="13" t="n">
        <f aca="false">C42-B42</f>
        <v>17223.3333333333</v>
      </c>
      <c r="E42" s="14" t="n">
        <f aca="false">IF($C$43=0,0,C42/$C$43)</f>
        <v>0.154867986056786</v>
      </c>
      <c r="F42" s="13" t="n">
        <f aca="false">C42/'Overview &amp; Margins'!$C$20</f>
        <v>14.6956769055745</v>
      </c>
    </row>
    <row r="43" customFormat="false" ht="15" hidden="false" customHeight="false" outlineLevel="0" collapsed="false">
      <c r="A43" s="29" t="s">
        <v>537</v>
      </c>
      <c r="B43" s="15" t="n">
        <f aca="false">SUM(B36:B42)</f>
        <v>166819.5</v>
      </c>
      <c r="C43" s="15" t="n">
        <f aca="false">SUM(C36:C42)</f>
        <v>278032.5</v>
      </c>
      <c r="D43" s="15" t="n">
        <f aca="false">C43-B43</f>
        <v>111213</v>
      </c>
      <c r="E43" s="16" t="n">
        <f aca="false">IF($C$43=0,0,C43/$C$43)</f>
        <v>1</v>
      </c>
      <c r="F43" s="15" t="n">
        <f aca="false">C43/'Overview &amp; Margins'!$C$20</f>
        <v>94.891638225256</v>
      </c>
    </row>
    <row r="45" customFormat="false" ht="15" hidden="false" customHeight="false" outlineLevel="0" collapsed="false">
      <c r="A45" s="24" t="s">
        <v>538</v>
      </c>
    </row>
    <row r="46" customFormat="false" ht="15" hidden="false" customHeight="false" outlineLevel="0" collapsed="false">
      <c r="A46" s="12" t="s">
        <v>77</v>
      </c>
      <c r="B46" s="12" t="s">
        <v>36</v>
      </c>
      <c r="C46" s="12" t="s">
        <v>37</v>
      </c>
      <c r="D46" s="12" t="s">
        <v>38</v>
      </c>
      <c r="E46" s="12" t="s">
        <v>531</v>
      </c>
      <c r="F46" s="12" t="s">
        <v>51</v>
      </c>
    </row>
    <row r="47" customFormat="false" ht="15" hidden="false" customHeight="false" outlineLevel="0" collapsed="false">
      <c r="A47" s="25" t="s">
        <v>496</v>
      </c>
      <c r="B47" s="13" t="n">
        <f aca="false">SUMIFS('Line Items'!$I$2:$I$132,'Line Items'!$B$2:$B$132,A47)</f>
        <v>84650</v>
      </c>
      <c r="C47" s="13" t="n">
        <f aca="false">B47/(1-'Overview &amp; Margins'!$C$9)</f>
        <v>141083.333333333</v>
      </c>
      <c r="D47" s="13" t="n">
        <f aca="false">C47-B47</f>
        <v>56433.3333333333</v>
      </c>
      <c r="E47" s="14" t="n">
        <f aca="false">IF($C$48=0,0,C47/$C$48)</f>
        <v>1</v>
      </c>
      <c r="F47" s="13" t="n">
        <f aca="false">C47/'Overview &amp; Margins'!$C$20</f>
        <v>48.1513083048919</v>
      </c>
    </row>
    <row r="48" customFormat="false" ht="15" hidden="false" customHeight="false" outlineLevel="0" collapsed="false">
      <c r="A48" s="29" t="s">
        <v>539</v>
      </c>
      <c r="B48" s="15" t="n">
        <f aca="false">SUM(B47:B47)</f>
        <v>84650</v>
      </c>
      <c r="C48" s="15" t="n">
        <f aca="false">SUM(C47:C47)</f>
        <v>141083.333333333</v>
      </c>
      <c r="D48" s="15" t="n">
        <f aca="false">C48-B48</f>
        <v>56433.3333333333</v>
      </c>
      <c r="E48" s="16" t="n">
        <f aca="false">IF($C$48=0,0,C48/$C$48)</f>
        <v>1</v>
      </c>
      <c r="F48" s="15" t="n">
        <f aca="false">C48/'Overview &amp; Margins'!$C$20</f>
        <v>48.1513083048919</v>
      </c>
    </row>
    <row r="50" customFormat="false" ht="15" hidden="false" customHeight="false" outlineLevel="0" collapsed="false">
      <c r="A50" s="30" t="s">
        <v>47</v>
      </c>
      <c r="B50" s="31" t="n">
        <f aca="false">B32+B43+B48</f>
        <v>1360532.975</v>
      </c>
      <c r="C50" s="31" t="n">
        <f aca="false">C32+C43+C48</f>
        <v>2219554.95833333</v>
      </c>
      <c r="D50" s="31" t="n">
        <f aca="false">C50-B50</f>
        <v>859021.983333333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B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5" min="3" style="0" width="8"/>
    <col collapsed="false" customWidth="true" hidden="false" outlineLevel="0" max="7" min="6" style="0" width="12"/>
    <col collapsed="false" customWidth="true" hidden="false" outlineLevel="0" max="54" min="8" style="0" width="3.61"/>
  </cols>
  <sheetData>
    <row r="1" customFormat="false" ht="17.35" hidden="false" customHeight="false" outlineLevel="0" collapsed="false">
      <c r="A1" s="1" t="s">
        <v>540</v>
      </c>
    </row>
    <row r="2" customFormat="false" ht="15" hidden="false" customHeight="false" outlineLevel="0" collapsed="false">
      <c r="A2" s="4" t="s">
        <v>541</v>
      </c>
      <c r="C2" s="32" t="n">
        <v>46398</v>
      </c>
      <c r="E2" s="2" t="s">
        <v>542</v>
      </c>
    </row>
    <row r="3" customFormat="false" ht="15" hidden="false" customHeight="false" outlineLevel="0" collapsed="false">
      <c r="H3" s="33" t="str">
        <f aca="false">TEXT($C$2+(H4-1)*7,"mmm")</f>
        <v>Nov</v>
      </c>
      <c r="I3" s="33"/>
      <c r="J3" s="33"/>
      <c r="K3" s="33"/>
      <c r="L3" s="33" t="str">
        <f aca="false">TEXT($C$2+(L4-1)*7,"mmm")</f>
        <v>Dec</v>
      </c>
      <c r="M3" s="33"/>
      <c r="N3" s="33"/>
      <c r="O3" s="33"/>
      <c r="P3" s="33" t="str">
        <f aca="false">TEXT($C$2+(P4-1)*7,"mmm")</f>
        <v>Jan</v>
      </c>
      <c r="Q3" s="33"/>
      <c r="R3" s="33"/>
      <c r="S3" s="33"/>
      <c r="T3" s="33" t="str">
        <f aca="false">TEXT($C$2+(T4-1)*7,"mmm")</f>
        <v>Feb</v>
      </c>
      <c r="U3" s="33"/>
      <c r="V3" s="33"/>
      <c r="W3" s="33"/>
      <c r="X3" s="33" t="str">
        <f aca="false">TEXT($C$2+(X4-1)*7,"mmm")</f>
        <v>Mar</v>
      </c>
      <c r="Y3" s="33"/>
      <c r="Z3" s="33"/>
      <c r="AA3" s="33"/>
      <c r="AB3" s="33" t="str">
        <f aca="false">TEXT($C$2+(AB4-1)*7,"mmm")</f>
        <v>Apr</v>
      </c>
      <c r="AC3" s="33"/>
      <c r="AD3" s="33"/>
      <c r="AE3" s="33"/>
      <c r="AF3" s="33" t="str">
        <f aca="false">TEXT($C$2+(AF4-1)*7,"mmm")</f>
        <v>May</v>
      </c>
      <c r="AG3" s="33"/>
      <c r="AH3" s="33"/>
      <c r="AI3" s="33"/>
      <c r="AJ3" s="33" t="str">
        <f aca="false">TEXT($C$2+(AJ4-1)*7,"mmm")</f>
        <v>May</v>
      </c>
      <c r="AK3" s="33"/>
      <c r="AL3" s="33"/>
      <c r="AM3" s="33"/>
      <c r="AN3" s="33" t="str">
        <f aca="false">TEXT($C$2+(AN4-1)*7,"mmm")</f>
        <v>Jun</v>
      </c>
      <c r="AO3" s="33"/>
      <c r="AP3" s="33"/>
      <c r="AQ3" s="33"/>
      <c r="AR3" s="33" t="str">
        <f aca="false">TEXT($C$2+(AR4-1)*7,"mmm")</f>
        <v>Jul</v>
      </c>
      <c r="AS3" s="33"/>
      <c r="AT3" s="33"/>
      <c r="AU3" s="33"/>
      <c r="AV3" s="33" t="str">
        <f aca="false">TEXT($C$2+(AV4-1)*7,"mmm")</f>
        <v>Aug</v>
      </c>
      <c r="AW3" s="33"/>
      <c r="AX3" s="33"/>
      <c r="AY3" s="33"/>
      <c r="AZ3" s="33" t="str">
        <f aca="false">TEXT($C$2+(AZ4-1)*7,"mmm")</f>
        <v>Sep</v>
      </c>
      <c r="BA3" s="33"/>
      <c r="BB3" s="33"/>
    </row>
    <row r="4" customFormat="false" ht="15" hidden="false" customHeight="false" outlineLevel="0" collapsed="false">
      <c r="A4" s="12" t="s">
        <v>543</v>
      </c>
      <c r="B4" s="12" t="s">
        <v>544</v>
      </c>
      <c r="C4" s="12" t="s">
        <v>545</v>
      </c>
      <c r="D4" s="12" t="s">
        <v>546</v>
      </c>
      <c r="E4" s="12" t="s">
        <v>547</v>
      </c>
      <c r="F4" s="12" t="s">
        <v>548</v>
      </c>
      <c r="G4" s="12" t="s">
        <v>549</v>
      </c>
      <c r="H4" s="34" t="n">
        <v>-7</v>
      </c>
      <c r="I4" s="34" t="n">
        <v>-6</v>
      </c>
      <c r="J4" s="34" t="n">
        <v>-5</v>
      </c>
      <c r="K4" s="34" t="n">
        <v>-4</v>
      </c>
      <c r="L4" s="34" t="n">
        <v>-3</v>
      </c>
      <c r="M4" s="34" t="n">
        <v>-2</v>
      </c>
      <c r="N4" s="34" t="n">
        <v>-1</v>
      </c>
      <c r="O4" s="34" t="n">
        <v>0</v>
      </c>
      <c r="P4" s="34" t="n">
        <v>1</v>
      </c>
      <c r="Q4" s="34" t="n">
        <v>2</v>
      </c>
      <c r="R4" s="34" t="n">
        <v>3</v>
      </c>
      <c r="S4" s="34" t="n">
        <v>4</v>
      </c>
      <c r="T4" s="34" t="n">
        <v>5</v>
      </c>
      <c r="U4" s="34" t="n">
        <v>6</v>
      </c>
      <c r="V4" s="34" t="n">
        <v>7</v>
      </c>
      <c r="W4" s="34" t="n">
        <v>8</v>
      </c>
      <c r="X4" s="34" t="n">
        <v>9</v>
      </c>
      <c r="Y4" s="34" t="n">
        <v>10</v>
      </c>
      <c r="Z4" s="34" t="n">
        <v>11</v>
      </c>
      <c r="AA4" s="34" t="n">
        <v>12</v>
      </c>
      <c r="AB4" s="34" t="n">
        <v>13</v>
      </c>
      <c r="AC4" s="34" t="n">
        <v>14</v>
      </c>
      <c r="AD4" s="34" t="n">
        <v>15</v>
      </c>
      <c r="AE4" s="34" t="n">
        <v>16</v>
      </c>
      <c r="AF4" s="34" t="n">
        <v>17</v>
      </c>
      <c r="AG4" s="34" t="n">
        <v>18</v>
      </c>
      <c r="AH4" s="34" t="n">
        <v>19</v>
      </c>
      <c r="AI4" s="34" t="n">
        <v>20</v>
      </c>
      <c r="AJ4" s="34" t="n">
        <v>21</v>
      </c>
      <c r="AK4" s="34" t="n">
        <v>22</v>
      </c>
      <c r="AL4" s="34" t="n">
        <v>23</v>
      </c>
      <c r="AM4" s="34" t="n">
        <v>24</v>
      </c>
      <c r="AN4" s="34" t="n">
        <v>25</v>
      </c>
      <c r="AO4" s="34" t="n">
        <v>26</v>
      </c>
      <c r="AP4" s="34" t="n">
        <v>27</v>
      </c>
      <c r="AQ4" s="34" t="n">
        <v>28</v>
      </c>
      <c r="AR4" s="34" t="n">
        <v>29</v>
      </c>
      <c r="AS4" s="34" t="n">
        <v>30</v>
      </c>
      <c r="AT4" s="34" t="n">
        <v>31</v>
      </c>
      <c r="AU4" s="34" t="n">
        <v>32</v>
      </c>
      <c r="AV4" s="34" t="n">
        <v>33</v>
      </c>
      <c r="AW4" s="34" t="n">
        <v>34</v>
      </c>
      <c r="AX4" s="34" t="n">
        <v>35</v>
      </c>
      <c r="AY4" s="34" t="n">
        <v>36</v>
      </c>
      <c r="AZ4" s="34" t="n">
        <v>37</v>
      </c>
      <c r="BA4" s="34" t="n">
        <v>38</v>
      </c>
      <c r="BB4" s="34" t="n">
        <v>39</v>
      </c>
    </row>
    <row r="5" customFormat="false" ht="15" hidden="false" customHeight="false" outlineLevel="0" collapsed="false">
      <c r="A5" s="35" t="s">
        <v>550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customFormat="false" ht="15" hidden="false" customHeight="false" outlineLevel="0" collapsed="false">
      <c r="A6" s="25" t="s">
        <v>551</v>
      </c>
      <c r="B6" s="37" t="s">
        <v>552</v>
      </c>
      <c r="C6" s="38" t="n">
        <v>-7</v>
      </c>
      <c r="D6" s="38" t="n">
        <v>8</v>
      </c>
      <c r="E6" s="39" t="n">
        <f aca="false">C6+D6-1</f>
        <v>0</v>
      </c>
      <c r="F6" s="40" t="n">
        <f aca="false">$C$2+(C6-1)*7</f>
        <v>46342</v>
      </c>
      <c r="G6" s="40" t="n">
        <f aca="false">$C$2+(E6-1)*7+4</f>
        <v>46395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customFormat="false" ht="15" hidden="false" customHeight="false" outlineLevel="0" collapsed="false">
      <c r="A7" s="35" t="s">
        <v>553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customFormat="false" ht="15" hidden="false" customHeight="false" outlineLevel="0" collapsed="false">
      <c r="A8" s="25" t="s">
        <v>554</v>
      </c>
      <c r="B8" s="37" t="s">
        <v>555</v>
      </c>
      <c r="C8" s="38" t="n">
        <v>1</v>
      </c>
      <c r="D8" s="38" t="n">
        <v>1</v>
      </c>
      <c r="E8" s="39" t="n">
        <f aca="false">C8+D8-1</f>
        <v>1</v>
      </c>
      <c r="F8" s="40" t="n">
        <f aca="false">$C$2+(C8-1)*7</f>
        <v>46398</v>
      </c>
      <c r="G8" s="40" t="n">
        <f aca="false">$C$2+(E8-1)*7+4</f>
        <v>46402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customFormat="false" ht="15" hidden="false" customHeight="false" outlineLevel="0" collapsed="false">
      <c r="A9" s="25" t="s">
        <v>556</v>
      </c>
      <c r="B9" s="37" t="s">
        <v>557</v>
      </c>
      <c r="C9" s="38" t="n">
        <v>1</v>
      </c>
      <c r="D9" s="38" t="n">
        <v>1</v>
      </c>
      <c r="E9" s="39" t="n">
        <f aca="false">C9+D9-1</f>
        <v>1</v>
      </c>
      <c r="F9" s="40" t="n">
        <f aca="false">$C$2+(C9-1)*7</f>
        <v>46398</v>
      </c>
      <c r="G9" s="40" t="n">
        <f aca="false">$C$2+(E9-1)*7+4</f>
        <v>46402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customFormat="false" ht="15" hidden="false" customHeight="false" outlineLevel="0" collapsed="false">
      <c r="A10" s="25" t="s">
        <v>558</v>
      </c>
      <c r="B10" s="37" t="s">
        <v>559</v>
      </c>
      <c r="C10" s="38" t="n">
        <v>2</v>
      </c>
      <c r="D10" s="38" t="n">
        <v>2</v>
      </c>
      <c r="E10" s="39" t="n">
        <f aca="false">C10+D10-1</f>
        <v>3</v>
      </c>
      <c r="F10" s="40" t="n">
        <f aca="false">$C$2+(C10-1)*7</f>
        <v>46405</v>
      </c>
      <c r="G10" s="40" t="n">
        <f aca="false">$C$2+(E10-1)*7+4</f>
        <v>46416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customFormat="false" ht="15" hidden="false" customHeight="false" outlineLevel="0" collapsed="false">
      <c r="A11" s="25" t="s">
        <v>560</v>
      </c>
      <c r="B11" s="37" t="s">
        <v>561</v>
      </c>
      <c r="C11" s="38" t="n">
        <v>4</v>
      </c>
      <c r="D11" s="38" t="n">
        <v>1</v>
      </c>
      <c r="E11" s="39" t="n">
        <f aca="false">C11+D11-1</f>
        <v>4</v>
      </c>
      <c r="F11" s="40" t="n">
        <f aca="false">$C$2+(C11-1)*7</f>
        <v>46419</v>
      </c>
      <c r="G11" s="40" t="n">
        <f aca="false">$C$2+(E11-1)*7+4</f>
        <v>46423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customFormat="false" ht="15" hidden="false" customHeight="false" outlineLevel="0" collapsed="false">
      <c r="A12" s="25" t="s">
        <v>562</v>
      </c>
      <c r="B12" s="37" t="s">
        <v>563</v>
      </c>
      <c r="C12" s="38" t="n">
        <v>5</v>
      </c>
      <c r="D12" s="38" t="n">
        <v>1</v>
      </c>
      <c r="E12" s="39" t="n">
        <f aca="false">C12+D12-1</f>
        <v>5</v>
      </c>
      <c r="F12" s="40" t="n">
        <f aca="false">$C$2+(C12-1)*7</f>
        <v>46426</v>
      </c>
      <c r="G12" s="40" t="n">
        <f aca="false">$C$2+(E12-1)*7+4</f>
        <v>46430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customFormat="false" ht="15" hidden="false" customHeight="false" outlineLevel="0" collapsed="false">
      <c r="A13" s="25" t="s">
        <v>564</v>
      </c>
      <c r="B13" s="37" t="s">
        <v>563</v>
      </c>
      <c r="C13" s="38" t="n">
        <v>6</v>
      </c>
      <c r="D13" s="38" t="n">
        <v>2</v>
      </c>
      <c r="E13" s="39" t="n">
        <f aca="false">C13+D13-1</f>
        <v>7</v>
      </c>
      <c r="F13" s="40" t="n">
        <f aca="false">$C$2+(C13-1)*7</f>
        <v>46433</v>
      </c>
      <c r="G13" s="40" t="n">
        <f aca="false">$C$2+(E13-1)*7+4</f>
        <v>46444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customFormat="false" ht="15" hidden="false" customHeight="false" outlineLevel="0" collapsed="false">
      <c r="A14" s="25" t="s">
        <v>565</v>
      </c>
      <c r="B14" s="37" t="s">
        <v>566</v>
      </c>
      <c r="C14" s="38" t="n">
        <v>8</v>
      </c>
      <c r="D14" s="38" t="n">
        <v>1</v>
      </c>
      <c r="E14" s="39" t="n">
        <f aca="false">C14+D14-1</f>
        <v>8</v>
      </c>
      <c r="F14" s="40" t="n">
        <f aca="false">$C$2+(C14-1)*7</f>
        <v>46447</v>
      </c>
      <c r="G14" s="40" t="n">
        <f aca="false">$C$2+(E14-1)*7+4</f>
        <v>46451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customFormat="false" ht="15" hidden="false" customHeight="false" outlineLevel="0" collapsed="false">
      <c r="A15" s="25" t="s">
        <v>567</v>
      </c>
      <c r="B15" s="37" t="s">
        <v>568</v>
      </c>
      <c r="C15" s="38" t="n">
        <v>9</v>
      </c>
      <c r="D15" s="38" t="n">
        <v>1</v>
      </c>
      <c r="E15" s="39" t="n">
        <f aca="false">C15+D15-1</f>
        <v>9</v>
      </c>
      <c r="F15" s="40" t="n">
        <f aca="false">$C$2+(C15-1)*7</f>
        <v>46454</v>
      </c>
      <c r="G15" s="40" t="n">
        <f aca="false">$C$2+(E15-1)*7+4</f>
        <v>46458</v>
      </c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customFormat="false" ht="15" hidden="false" customHeight="false" outlineLevel="0" collapsed="false">
      <c r="A16" s="25" t="s">
        <v>569</v>
      </c>
      <c r="B16" s="37" t="s">
        <v>570</v>
      </c>
      <c r="C16" s="38" t="n">
        <v>10</v>
      </c>
      <c r="D16" s="38" t="n">
        <v>5</v>
      </c>
      <c r="E16" s="39" t="n">
        <f aca="false">C16+D16-1</f>
        <v>14</v>
      </c>
      <c r="F16" s="40" t="n">
        <f aca="false">$C$2+(C16-1)*7</f>
        <v>46461</v>
      </c>
      <c r="G16" s="40" t="n">
        <f aca="false">$C$2+(E16-1)*7+4</f>
        <v>46493</v>
      </c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customFormat="false" ht="15" hidden="false" customHeight="false" outlineLevel="0" collapsed="false">
      <c r="A17" s="25" t="s">
        <v>571</v>
      </c>
      <c r="B17" s="37" t="s">
        <v>572</v>
      </c>
      <c r="C17" s="38" t="n">
        <v>14</v>
      </c>
      <c r="D17" s="38" t="n">
        <v>1</v>
      </c>
      <c r="E17" s="39" t="n">
        <f aca="false">C17+D17-1</f>
        <v>14</v>
      </c>
      <c r="F17" s="40" t="n">
        <f aca="false">$C$2+(C17-1)*7</f>
        <v>46489</v>
      </c>
      <c r="G17" s="40" t="n">
        <f aca="false">$C$2+(E17-1)*7+4</f>
        <v>46493</v>
      </c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customFormat="false" ht="15" hidden="false" customHeight="false" outlineLevel="0" collapsed="false">
      <c r="A18" s="25" t="s">
        <v>573</v>
      </c>
      <c r="B18" s="37" t="s">
        <v>574</v>
      </c>
      <c r="C18" s="38" t="n">
        <v>15</v>
      </c>
      <c r="D18" s="38" t="n">
        <v>2</v>
      </c>
      <c r="E18" s="39" t="n">
        <f aca="false">C18+D18-1</f>
        <v>16</v>
      </c>
      <c r="F18" s="40" t="n">
        <f aca="false">$C$2+(C18-1)*7</f>
        <v>46496</v>
      </c>
      <c r="G18" s="40" t="n">
        <f aca="false">$C$2+(E18-1)*7+4</f>
        <v>46507</v>
      </c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customFormat="false" ht="15" hidden="false" customHeight="false" outlineLevel="0" collapsed="false">
      <c r="A19" s="25" t="s">
        <v>575</v>
      </c>
      <c r="B19" s="37" t="s">
        <v>576</v>
      </c>
      <c r="C19" s="38" t="n">
        <v>15</v>
      </c>
      <c r="D19" s="38" t="n">
        <v>2</v>
      </c>
      <c r="E19" s="39" t="n">
        <f aca="false">C19+D19-1</f>
        <v>16</v>
      </c>
      <c r="F19" s="40" t="n">
        <f aca="false">$C$2+(C19-1)*7</f>
        <v>46496</v>
      </c>
      <c r="G19" s="40" t="n">
        <f aca="false">$C$2+(E19-1)*7+4</f>
        <v>46507</v>
      </c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customFormat="false" ht="15" hidden="false" customHeight="false" outlineLevel="0" collapsed="false">
      <c r="A20" s="25" t="s">
        <v>577</v>
      </c>
      <c r="B20" s="37" t="s">
        <v>578</v>
      </c>
      <c r="C20" s="38" t="n">
        <v>16</v>
      </c>
      <c r="D20" s="38" t="n">
        <v>4</v>
      </c>
      <c r="E20" s="39" t="n">
        <f aca="false">C20+D20-1</f>
        <v>19</v>
      </c>
      <c r="F20" s="40" t="n">
        <f aca="false">$C$2+(C20-1)*7</f>
        <v>46503</v>
      </c>
      <c r="G20" s="40" t="n">
        <f aca="false">$C$2+(E20-1)*7+4</f>
        <v>46528</v>
      </c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customFormat="false" ht="15" hidden="false" customHeight="false" outlineLevel="0" collapsed="false">
      <c r="A21" s="25" t="s">
        <v>579</v>
      </c>
      <c r="B21" s="37" t="s">
        <v>580</v>
      </c>
      <c r="C21" s="38" t="n">
        <v>17</v>
      </c>
      <c r="D21" s="38" t="n">
        <v>1</v>
      </c>
      <c r="E21" s="39" t="n">
        <f aca="false">C21+D21-1</f>
        <v>17</v>
      </c>
      <c r="F21" s="40" t="n">
        <f aca="false">$C$2+(C21-1)*7</f>
        <v>46510</v>
      </c>
      <c r="G21" s="40" t="n">
        <f aca="false">$C$2+(E21-1)*7+4</f>
        <v>46514</v>
      </c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customFormat="false" ht="15" hidden="false" customHeight="false" outlineLevel="0" collapsed="false">
      <c r="A22" s="25" t="s">
        <v>581</v>
      </c>
      <c r="B22" s="37" t="s">
        <v>582</v>
      </c>
      <c r="C22" s="38" t="n">
        <v>17</v>
      </c>
      <c r="D22" s="38" t="n">
        <v>6</v>
      </c>
      <c r="E22" s="39" t="n">
        <f aca="false">C22+D22-1</f>
        <v>22</v>
      </c>
      <c r="F22" s="40" t="n">
        <f aca="false">$C$2+(C22-1)*7</f>
        <v>46510</v>
      </c>
      <c r="G22" s="40" t="n">
        <f aca="false">$C$2+(E22-1)*7+4</f>
        <v>46549</v>
      </c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customFormat="false" ht="15" hidden="false" customHeight="false" outlineLevel="0" collapsed="false">
      <c r="A23" s="25" t="s">
        <v>583</v>
      </c>
      <c r="B23" s="37" t="s">
        <v>584</v>
      </c>
      <c r="C23" s="38" t="n">
        <v>20</v>
      </c>
      <c r="D23" s="38" t="n">
        <v>1</v>
      </c>
      <c r="E23" s="39" t="n">
        <f aca="false">C23+D23-1</f>
        <v>20</v>
      </c>
      <c r="F23" s="40" t="n">
        <f aca="false">$C$2+(C23-1)*7</f>
        <v>46531</v>
      </c>
      <c r="G23" s="40" t="n">
        <f aca="false">$C$2+(E23-1)*7+4</f>
        <v>46535</v>
      </c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customFormat="false" ht="15" hidden="false" customHeight="false" outlineLevel="0" collapsed="false">
      <c r="A24" s="25" t="s">
        <v>585</v>
      </c>
      <c r="B24" s="37" t="s">
        <v>586</v>
      </c>
      <c r="C24" s="38" t="n">
        <v>21</v>
      </c>
      <c r="D24" s="38" t="n">
        <v>2</v>
      </c>
      <c r="E24" s="39" t="n">
        <f aca="false">C24+D24-1</f>
        <v>22</v>
      </c>
      <c r="F24" s="40" t="n">
        <f aca="false">$C$2+(C24-1)*7</f>
        <v>46538</v>
      </c>
      <c r="G24" s="40" t="n">
        <f aca="false">$C$2+(E24-1)*7+4</f>
        <v>46549</v>
      </c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customFormat="false" ht="15" hidden="false" customHeight="false" outlineLevel="0" collapsed="false">
      <c r="A25" s="25" t="s">
        <v>587</v>
      </c>
      <c r="B25" s="37" t="s">
        <v>588</v>
      </c>
      <c r="C25" s="38" t="n">
        <v>23</v>
      </c>
      <c r="D25" s="38" t="n">
        <v>1</v>
      </c>
      <c r="E25" s="39" t="n">
        <f aca="false">C25+D25-1</f>
        <v>23</v>
      </c>
      <c r="F25" s="40" t="n">
        <f aca="false">$C$2+(C25-1)*7</f>
        <v>46552</v>
      </c>
      <c r="G25" s="40" t="n">
        <f aca="false">$C$2+(E25-1)*7+4</f>
        <v>46556</v>
      </c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customFormat="false" ht="15" hidden="false" customHeight="false" outlineLevel="0" collapsed="false">
      <c r="A26" s="25" t="s">
        <v>589</v>
      </c>
      <c r="B26" s="37" t="s">
        <v>590</v>
      </c>
      <c r="C26" s="38" t="n">
        <v>23</v>
      </c>
      <c r="D26" s="38" t="n">
        <v>4</v>
      </c>
      <c r="E26" s="39" t="n">
        <f aca="false">C26+D26-1</f>
        <v>26</v>
      </c>
      <c r="F26" s="40" t="n">
        <f aca="false">$C$2+(C26-1)*7</f>
        <v>46552</v>
      </c>
      <c r="G26" s="40" t="n">
        <f aca="false">$C$2+(E26-1)*7+4</f>
        <v>46577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customFormat="false" ht="15" hidden="false" customHeight="false" outlineLevel="0" collapsed="false">
      <c r="A27" s="25" t="s">
        <v>591</v>
      </c>
      <c r="B27" s="37" t="s">
        <v>592</v>
      </c>
      <c r="C27" s="38" t="n">
        <v>27</v>
      </c>
      <c r="D27" s="38" t="n">
        <v>1</v>
      </c>
      <c r="E27" s="39" t="n">
        <f aca="false">C27+D27-1</f>
        <v>27</v>
      </c>
      <c r="F27" s="40" t="n">
        <f aca="false">$C$2+(C27-1)*7</f>
        <v>46580</v>
      </c>
      <c r="G27" s="40" t="n">
        <f aca="false">$C$2+(E27-1)*7+4</f>
        <v>46584</v>
      </c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customFormat="false" ht="15" hidden="false" customHeight="false" outlineLevel="0" collapsed="false">
      <c r="A28" s="35" t="s">
        <v>593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customFormat="false" ht="15" hidden="false" customHeight="false" outlineLevel="0" collapsed="false">
      <c r="A29" s="25" t="s">
        <v>594</v>
      </c>
      <c r="B29" s="37" t="s">
        <v>595</v>
      </c>
      <c r="C29" s="38" t="n">
        <v>28</v>
      </c>
      <c r="D29" s="38" t="n">
        <v>3</v>
      </c>
      <c r="E29" s="39" t="n">
        <f aca="false">C29+D29-1</f>
        <v>30</v>
      </c>
      <c r="F29" s="40" t="n">
        <f aca="false">$C$2+(C29-1)*7</f>
        <v>46587</v>
      </c>
      <c r="G29" s="40" t="n">
        <f aca="false">$C$2+(E29-1)*7+4</f>
        <v>46605</v>
      </c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customFormat="false" ht="15" hidden="false" customHeight="false" outlineLevel="0" collapsed="false">
      <c r="A30" s="25" t="s">
        <v>596</v>
      </c>
      <c r="B30" s="37" t="s">
        <v>597</v>
      </c>
      <c r="C30" s="38" t="n">
        <v>28</v>
      </c>
      <c r="D30" s="38" t="n">
        <v>4</v>
      </c>
      <c r="E30" s="39" t="n">
        <f aca="false">C30+D30-1</f>
        <v>31</v>
      </c>
      <c r="F30" s="40" t="n">
        <f aca="false">$C$2+(C30-1)*7</f>
        <v>46587</v>
      </c>
      <c r="G30" s="40" t="n">
        <f aca="false">$C$2+(E30-1)*7+4</f>
        <v>46612</v>
      </c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customFormat="false" ht="15" hidden="false" customHeight="false" outlineLevel="0" collapsed="false">
      <c r="A31" s="25" t="s">
        <v>598</v>
      </c>
      <c r="B31" s="37" t="s">
        <v>599</v>
      </c>
      <c r="C31" s="38" t="n">
        <v>30</v>
      </c>
      <c r="D31" s="38" t="n">
        <v>4</v>
      </c>
      <c r="E31" s="39" t="n">
        <f aca="false">C31+D31-1</f>
        <v>33</v>
      </c>
      <c r="F31" s="40" t="n">
        <f aca="false">$C$2+(C31-1)*7</f>
        <v>46601</v>
      </c>
      <c r="G31" s="40" t="n">
        <f aca="false">$C$2+(E31-1)*7+4</f>
        <v>46626</v>
      </c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customFormat="false" ht="15" hidden="false" customHeight="false" outlineLevel="0" collapsed="false">
      <c r="A32" s="25" t="s">
        <v>600</v>
      </c>
      <c r="B32" s="37" t="s">
        <v>592</v>
      </c>
      <c r="C32" s="38" t="n">
        <v>33</v>
      </c>
      <c r="D32" s="38" t="n">
        <v>2</v>
      </c>
      <c r="E32" s="39" t="n">
        <f aca="false">C32+D32-1</f>
        <v>34</v>
      </c>
      <c r="F32" s="40" t="n">
        <f aca="false">$C$2+(C32-1)*7</f>
        <v>46622</v>
      </c>
      <c r="G32" s="40" t="n">
        <f aca="false">$C$2+(E32-1)*7+4</f>
        <v>46633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customFormat="false" ht="15" hidden="false" customHeight="false" outlineLevel="0" collapsed="false">
      <c r="A33" s="25" t="s">
        <v>601</v>
      </c>
      <c r="B33" s="37" t="s">
        <v>602</v>
      </c>
      <c r="C33" s="38" t="n">
        <v>34</v>
      </c>
      <c r="D33" s="38" t="n">
        <v>2</v>
      </c>
      <c r="E33" s="39" t="n">
        <f aca="false">C33+D33-1</f>
        <v>35</v>
      </c>
      <c r="F33" s="40" t="n">
        <f aca="false">$C$2+(C33-1)*7</f>
        <v>46629</v>
      </c>
      <c r="G33" s="40" t="n">
        <f aca="false">$C$2+(E33-1)*7+4</f>
        <v>46640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customFormat="false" ht="15" hidden="false" customHeight="false" outlineLevel="0" collapsed="false">
      <c r="A34" s="25" t="s">
        <v>603</v>
      </c>
      <c r="B34" s="37" t="s">
        <v>604</v>
      </c>
      <c r="C34" s="38" t="n">
        <v>34</v>
      </c>
      <c r="D34" s="38" t="n">
        <v>3</v>
      </c>
      <c r="E34" s="39" t="n">
        <f aca="false">C34+D34-1</f>
        <v>36</v>
      </c>
      <c r="F34" s="40" t="n">
        <f aca="false">$C$2+(C34-1)*7</f>
        <v>46629</v>
      </c>
      <c r="G34" s="40" t="n">
        <f aca="false">$C$2+(E34-1)*7+4</f>
        <v>46647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customFormat="false" ht="15" hidden="false" customHeight="false" outlineLevel="0" collapsed="false">
      <c r="A35" s="25" t="s">
        <v>605</v>
      </c>
      <c r="B35" s="37" t="s">
        <v>606</v>
      </c>
      <c r="C35" s="38" t="n">
        <v>37</v>
      </c>
      <c r="D35" s="38" t="n">
        <v>2</v>
      </c>
      <c r="E35" s="39" t="n">
        <f aca="false">C35+D35-1</f>
        <v>38</v>
      </c>
      <c r="F35" s="40" t="n">
        <f aca="false">$C$2+(C35-1)*7</f>
        <v>46650</v>
      </c>
      <c r="G35" s="40" t="n">
        <f aca="false">$C$2+(E35-1)*7+4</f>
        <v>46661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customFormat="false" ht="15" hidden="false" customHeight="false" outlineLevel="0" collapsed="false">
      <c r="A36" s="25" t="s">
        <v>607</v>
      </c>
      <c r="B36" s="37" t="s">
        <v>555</v>
      </c>
      <c r="C36" s="38" t="n">
        <v>39</v>
      </c>
      <c r="D36" s="38" t="n">
        <v>1</v>
      </c>
      <c r="E36" s="39" t="n">
        <f aca="false">C36+D36-1</f>
        <v>39</v>
      </c>
      <c r="F36" s="40" t="n">
        <f aca="false">$C$2+(C36-1)*7</f>
        <v>46664</v>
      </c>
      <c r="G36" s="40" t="n">
        <f aca="false">$C$2+(E36-1)*7+4</f>
        <v>46668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8" customFormat="false" ht="15" hidden="false" customHeight="false" outlineLevel="0" collapsed="false">
      <c r="A38" s="3" t="s">
        <v>608</v>
      </c>
    </row>
    <row r="39" customFormat="false" ht="15" hidden="false" customHeight="false" outlineLevel="0" collapsed="false">
      <c r="A39" s="5" t="s">
        <v>609</v>
      </c>
      <c r="F39" s="42" t="n">
        <f aca="false">C2</f>
        <v>46398</v>
      </c>
    </row>
    <row r="40" customFormat="false" ht="15" hidden="false" customHeight="false" outlineLevel="0" collapsed="false">
      <c r="A40" s="5" t="s">
        <v>610</v>
      </c>
      <c r="F40" s="42" t="n">
        <f aca="false">$C$2+8*7+4</f>
        <v>46458</v>
      </c>
    </row>
    <row r="41" customFormat="false" ht="15" hidden="false" customHeight="false" outlineLevel="0" collapsed="false">
      <c r="A41" s="5" t="s">
        <v>611</v>
      </c>
      <c r="F41" s="42" t="n">
        <f aca="false">$C$2+15*7+4</f>
        <v>46507</v>
      </c>
    </row>
    <row r="42" customFormat="false" ht="15" hidden="false" customHeight="false" outlineLevel="0" collapsed="false">
      <c r="A42" s="5" t="s">
        <v>612</v>
      </c>
      <c r="F42" s="42" t="n">
        <f aca="false">$C$2+26*7+4</f>
        <v>46584</v>
      </c>
    </row>
    <row r="43" customFormat="false" ht="15" hidden="false" customHeight="false" outlineLevel="0" collapsed="false">
      <c r="A43" s="5" t="s">
        <v>613</v>
      </c>
      <c r="F43" s="42" t="n">
        <f aca="false">$C$2+38*7+4</f>
        <v>46668</v>
      </c>
    </row>
    <row r="45" customFormat="false" ht="15" hidden="false" customHeight="false" outlineLevel="0" collapsed="false">
      <c r="A45" s="2" t="s">
        <v>614</v>
      </c>
    </row>
  </sheetData>
  <conditionalFormatting sqref="H5:BB36">
    <cfRule type="expression" priority="2" aboveAverage="0" equalAverage="0" bottom="0" percent="0" rank="0" text="" dxfId="5">
      <formula>AND(ISNUMBER($C5),H$4&gt;=$C5,H$4&lt;=$E5)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2026-10-21T14:24:41Z</dcterms:created>
  <dc:creator>openpyxl</dc:creator>
  <dc:description/>
  <dc:language>en-US</dc:language>
  <cp:lastModifiedBy/>
  <dcterms:modified xsi:type="dcterms:W3CDTF">2026-10-21T14:24:41Z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