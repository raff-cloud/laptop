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vision Detail" sheetId="2" state="visible" r:id="rId4"/>
    <sheet name="Turnkey Option" sheetId="3" state="visible" r:id="rId5"/>
    <sheet name="Schedule" sheetId="4" state="visible" r:id="rId6"/>
  </sheets>
  <definedNames>
    <definedName function="false" hidden="false" localSheetId="0" name="_xlnm.Print_Area" vbProcedure="false">Summary!$A$1:$I$58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<sst xmlns="http://schemas.openxmlformats.org/spreadsheetml/2006/main" count="783" uniqueCount="626">
  <si>
    <t xml:space="preserve">94 MARGARET AVE — PRICE TO DRYWALL</t>
  </si>
  <si>
    <t xml:space="preserve">Rachel Milisic  |  rmilisic@hotmail.com  |  Stoney Creek (Hamilton), ON  |  New 2-storey detached, entry level  |  PalmView Contracting Inc.  |  Oct 21, 2026</t>
  </si>
  <si>
    <t xml:space="preserve">ABOVE-GRADE AREA</t>
  </si>
  <si>
    <t xml:space="preserve">PRICE TO DRYWALL</t>
  </si>
  <si>
    <t xml:space="preserve">WITH HST</t>
  </si>
  <si>
    <t xml:space="preserve">GROSS MARGIN</t>
  </si>
  <si>
    <t xml:space="preserve">GROSS PROFIT</t>
  </si>
  <si>
    <t xml:space="preserve">PRICE / SF</t>
  </si>
  <si>
    <t xml:space="preserve">Main 1,460 + Second 1,470</t>
  </si>
  <si>
    <t xml:space="preserve">before HST</t>
  </si>
  <si>
    <t xml:space="preserve">13% HST included</t>
  </si>
  <si>
    <t xml:space="preserve">on PalmView price</t>
  </si>
  <si>
    <t xml:space="preserve">to drywall</t>
  </si>
  <si>
    <t xml:space="preserve">above grade</t>
  </si>
  <si>
    <t xml:space="preserve">HOUSE SIZE</t>
  </si>
  <si>
    <t xml:space="preserve">PRICING INPUTS</t>
  </si>
  <si>
    <t xml:space="preserve">Main floor</t>
  </si>
  <si>
    <t xml:space="preserve">HST</t>
  </si>
  <si>
    <t xml:space="preserve">Second floor</t>
  </si>
  <si>
    <t xml:space="preserve">Contingency (on hard cost)</t>
  </si>
  <si>
    <t xml:space="preserve">TARGET GROSS MARGIN</t>
  </si>
  <si>
    <t xml:space="preserve">TOTAL ABOVE GRADE (finished)</t>
  </si>
  <si>
    <t xml:space="preserve">Equals markup on cost of</t>
  </si>
  <si>
    <t xml:space="preserve">Basement (unfinished, not in SF)</t>
  </si>
  <si>
    <t xml:space="preserve">Edit yellow cells; everything updates.</t>
  </si>
  <si>
    <t xml:space="preserve">Two-car garage</t>
  </si>
  <si>
    <t xml:space="preserve">DIVISION BREAKDOWN — FIXED PRICE TO DRYWALL</t>
  </si>
  <si>
    <t xml:space="preserve">#</t>
  </si>
  <si>
    <t xml:space="preserve">Division</t>
  </si>
  <si>
    <t xml:space="preserve">Cost</t>
  </si>
  <si>
    <t xml:space="preserve">Price</t>
  </si>
  <si>
    <t xml:space="preserve">Gross Profit</t>
  </si>
  <si>
    <t xml:space="preserve">Price / SF</t>
  </si>
  <si>
    <t xml:space="preserve">% of Price</t>
  </si>
  <si>
    <t xml:space="preserve">Permits, Engineering &amp; Soft Costs</t>
  </si>
  <si>
    <t xml:space="preserve">Site Supervision &amp; General Conditions</t>
  </si>
  <si>
    <t xml:space="preserve">Demolition &amp; Site Preparation</t>
  </si>
  <si>
    <t xml:space="preserve">Excavation, Backfill &amp; Grading</t>
  </si>
  <si>
    <t xml:space="preserve">Footings, Foundation &amp; Waterproofing</t>
  </si>
  <si>
    <t xml:space="preserve">Concrete Slabs</t>
  </si>
  <si>
    <t xml:space="preserve">Framing &amp; Structural Steel</t>
  </si>
  <si>
    <t xml:space="preserve">Roofing, Soffit, Fascia &amp; Eaves</t>
  </si>
  <si>
    <t xml:space="preserve">Windows &amp; Exterior Doors</t>
  </si>
  <si>
    <t xml:space="preserve">Exterior Cladding: Brick, Stone &amp; Stucco</t>
  </si>
  <si>
    <t xml:space="preserve">Plumbing Rough-In</t>
  </si>
  <si>
    <t xml:space="preserve">HVAC &amp; Gas Rough-In</t>
  </si>
  <si>
    <t xml:space="preserve">Electrical Rough-In &amp; Service</t>
  </si>
  <si>
    <t xml:space="preserve">Insulation &amp; Air Sealing</t>
  </si>
  <si>
    <t xml:space="preserve">Drywall (Level 4, unprimed)</t>
  </si>
  <si>
    <t xml:space="preserve">Site Cleanup &amp; Closeout</t>
  </si>
  <si>
    <t xml:space="preserve">Construction Contingency (5% reserve)</t>
  </si>
  <si>
    <t xml:space="preserve">PALMVIEW FIXED PRICE (40% margin)</t>
  </si>
  <si>
    <t xml:space="preserve">Municipal &amp; Utility Fees — permit, DCs, utilities (at cost, no margin)</t>
  </si>
  <si>
    <t xml:space="preserve">TOTAL TO DRYWALL (before HST)</t>
  </si>
  <si>
    <t xml:space="preserve">HST 13%</t>
  </si>
  <si>
    <t xml:space="preserve">TOTAL INCLUDING HST</t>
  </si>
  <si>
    <t xml:space="preserve">MARGIN CHECK — PALMVIEW SCOPE (EXCLUDES PASS-THROUGH FEES)</t>
  </si>
  <si>
    <t xml:space="preserve">PalmView cost (incl. contingency)</t>
  </si>
  <si>
    <t xml:space="preserve">40% margin means 40 cents of every dollar the client pays</t>
  </si>
  <si>
    <t xml:space="preserve">PalmView price</t>
  </si>
  <si>
    <t xml:space="preserve">is gross profit. On cost, that is a 66.7% markup.</t>
  </si>
  <si>
    <t xml:space="preserve">Gross profit</t>
  </si>
  <si>
    <t xml:space="preserve">PalmView's standard 35% markup would equal a 25.9% margin.</t>
  </si>
  <si>
    <t xml:space="preserve">Gross margin (profit ÷ price)</t>
  </si>
  <si>
    <t xml:space="preserve">Fees passed through at cost carry no margin.</t>
  </si>
  <si>
    <t xml:space="preserve">Markup (profit ÷ cost)</t>
  </si>
  <si>
    <t xml:space="preserve">INCLUDED TO DRYWALL</t>
  </si>
  <si>
    <t xml:space="preserve">NOT INCLUDED</t>
  </si>
  <si>
    <t xml:space="preserve">✓  Demolition of existing house and site prep</t>
  </si>
  <si>
    <t xml:space="preserve">✕  Prime coat and paint</t>
  </si>
  <si>
    <t xml:space="preserve">✓  Excavation, foundation, waterproofing, slabs</t>
  </si>
  <si>
    <t xml:space="preserve">✕  Mechanical and electrical finish and startup</t>
  </si>
  <si>
    <t xml:space="preserve">✓  Framing, steel, trusses, roofing</t>
  </si>
  <si>
    <t xml:space="preserve">✕  All interior finishes and fixtures</t>
  </si>
  <si>
    <t xml:space="preserve">✓  Vinyl double-pane windows, steel doors, garage door</t>
  </si>
  <si>
    <t xml:space="preserve">✕  Basement finishing (left unfinished)</t>
  </si>
  <si>
    <t xml:space="preserve">✓  Brick, stone and stucco as drawn</t>
  </si>
  <si>
    <t xml:space="preserve">✕  Driveway, landscaping, final grading</t>
  </si>
  <si>
    <t xml:space="preserve">✓  Plumbing, gas, HVAC and electrical ROUGH-IN only</t>
  </si>
  <si>
    <t xml:space="preserve">✕  Garage door opener, appliances</t>
  </si>
  <si>
    <t xml:space="preserve">✓  Furnace, A/C, HRV supply; 200 A service</t>
  </si>
  <si>
    <t xml:space="preserve">✕  Rock, dewatering, shoring if required</t>
  </si>
  <si>
    <t xml:space="preserve">✓  Insulation, air test, Level 4 drywall (unprimed)</t>
  </si>
  <si>
    <t xml:space="preserve">✕  HST (shown separately)</t>
  </si>
  <si>
    <t xml:space="preserve">Confirm before issue: lumber quote, Hamilton development charge credit, foundation wall thickness, abatement after DSS, window count.</t>
  </si>
  <si>
    <t xml:space="preserve">DIVISION DETAIL — FIXED PRICE TO DRYWALL</t>
  </si>
  <si>
    <t xml:space="preserve">Every line item behind the Summary. Blue = quantities and unit costs from the PalmView Cost Index; price = cost ÷ (1 − margin).</t>
  </si>
  <si>
    <t xml:space="preserve">Code</t>
  </si>
  <si>
    <t xml:space="preserve">Cost Item</t>
  </si>
  <si>
    <t xml:space="preserve">Scope Description</t>
  </si>
  <si>
    <t xml:space="preserve">Qty</t>
  </si>
  <si>
    <t xml:space="preserve">Unit</t>
  </si>
  <si>
    <t xml:space="preserve">Unit Cost</t>
  </si>
  <si>
    <t xml:space="preserve">PERMITS, ENGINEERING &amp; SOFT COSTS</t>
  </si>
  <si>
    <t xml:space="preserve">1.002</t>
  </si>
  <si>
    <t xml:space="preserve">City Permit Package</t>
  </si>
  <si>
    <t xml:space="preserve">City permit package: zoning review, application forms and submission to City of Hamilton.</t>
  </si>
  <si>
    <t xml:space="preserve">Lump Sum</t>
  </si>
  <si>
    <t xml:space="preserve">1.029</t>
  </si>
  <si>
    <t xml:space="preserve">Permit Coordination Fee</t>
  </si>
  <si>
    <t xml:space="preserve">Permit coordination with City, designer (Bobicon) and AM Engineering through issuance.</t>
  </si>
  <si>
    <t xml:space="preserve">1.007</t>
  </si>
  <si>
    <t xml:space="preserve">Engineering (Structural, Mechanical &amp; Heat Loss)</t>
  </si>
  <si>
    <t xml:space="preserve">Engineering: structural (steel beams, lintels), HVAC design and heat loss / SB-12 EEDS.</t>
  </si>
  <si>
    <t xml:space="preserve">1.070</t>
  </si>
  <si>
    <t xml:space="preserve">Truss Layout Drawings</t>
  </si>
  <si>
    <t xml:space="preserve">Truss layout drawings for hip roof and girder trusses.</t>
  </si>
  <si>
    <t xml:space="preserve">1.030</t>
  </si>
  <si>
    <t xml:space="preserve">Surveyor Stakeout, Footing Pins &amp; Wall Pins</t>
  </si>
  <si>
    <t xml:space="preserve">Surveyor stakeout, footing pins and wall pins.</t>
  </si>
  <si>
    <t xml:space="preserve">1.031</t>
  </si>
  <si>
    <t xml:space="preserve">As-Built Survey / Survey Revisions</t>
  </si>
  <si>
    <t xml:space="preserve">As-built / foundation location survey.</t>
  </si>
  <si>
    <t xml:space="preserve">1.020</t>
  </si>
  <si>
    <t xml:space="preserve">Site Field Reviews by Engineer</t>
  </si>
  <si>
    <t xml:space="preserve">AM Engineering site reviews: servicing inspection and lot grading.</t>
  </si>
  <si>
    <t xml:space="preserve">Each</t>
  </si>
  <si>
    <t xml:space="preserve">1.067</t>
  </si>
  <si>
    <t xml:space="preserve">Hazardous Substance Report</t>
  </si>
  <si>
    <t xml:space="preserve">Designated substance survey of existing house before demolition (O. Reg. 278/05).</t>
  </si>
  <si>
    <t xml:space="preserve">1.021</t>
  </si>
  <si>
    <t xml:space="preserve">Tarion Warranty Enrollment</t>
  </si>
  <si>
    <t xml:space="preserve">Tarion new home warranty enrolment.</t>
  </si>
  <si>
    <t xml:space="preserve">Subtotal — Permits, Engineering &amp; Soft Costs</t>
  </si>
  <si>
    <t xml:space="preserve">SITE SUPERVISION &amp; GENERAL CONDITIONS</t>
  </si>
  <si>
    <t xml:space="preserve">1.036</t>
  </si>
  <si>
    <t xml:space="preserve">Tree Protection</t>
  </si>
  <si>
    <t xml:space="preserve">Tree protection hoarding at City boulevard tree per City of Hamilton requirements.</t>
  </si>
  <si>
    <t xml:space="preserve">1.040</t>
  </si>
  <si>
    <t xml:space="preserve">Site Supervision &amp; Project Management (Blended Monthly)</t>
  </si>
  <si>
    <t xml:space="preserve">Site supervision and project management, 6 months demo through drywall.</t>
  </si>
  <si>
    <t xml:space="preserve">Months</t>
  </si>
  <si>
    <t xml:space="preserve">1.042</t>
  </si>
  <si>
    <t xml:space="preserve">Temporary Hoarding &amp; Safety Fences</t>
  </si>
  <si>
    <t xml:space="preserve">Temporary construction fence, front and sides.</t>
  </si>
  <si>
    <t xml:space="preserve">Linear Feet</t>
  </si>
  <si>
    <t xml:space="preserve">1.043</t>
  </si>
  <si>
    <t xml:space="preserve">Temporary Toilet</t>
  </si>
  <si>
    <t xml:space="preserve">Temporary toilet, 6 months.</t>
  </si>
  <si>
    <t xml:space="preserve">1.044</t>
  </si>
  <si>
    <t xml:space="preserve">Temporary Hydro</t>
  </si>
  <si>
    <t xml:space="preserve">Temporary hydro service.</t>
  </si>
  <si>
    <t xml:space="preserve">1.045</t>
  </si>
  <si>
    <t xml:space="preserve">Temporary Water</t>
  </si>
  <si>
    <t xml:space="preserve">Temporary water.</t>
  </si>
  <si>
    <t xml:space="preserve">1.046</t>
  </si>
  <si>
    <t xml:space="preserve">Temporary Heating (Winter)</t>
  </si>
  <si>
    <t xml:space="preserve">Temporary heat, winter months (if schedule falls in winter).</t>
  </si>
  <si>
    <t xml:space="preserve">1.047</t>
  </si>
  <si>
    <t xml:space="preserve">Crane Service (incl. Operator &amp; Rigging)</t>
  </si>
  <si>
    <t xml:space="preserve">Crane with operator to set roof trusses, 1 day.</t>
  </si>
  <si>
    <t xml:space="preserve">Days</t>
  </si>
  <si>
    <t xml:space="preserve">1.050</t>
  </si>
  <si>
    <t xml:space="preserve">Scaffold Rental</t>
  </si>
  <si>
    <t xml:space="preserve">Scaffold rental for masonry and stucco, 4 months.</t>
  </si>
  <si>
    <t xml:space="preserve">1.051</t>
  </si>
  <si>
    <t xml:space="preserve">Waste Disposal / Garbage Bins</t>
  </si>
  <si>
    <t xml:space="preserve">Waste bins and disposal, 6 months.</t>
  </si>
  <si>
    <t xml:space="preserve">1.052</t>
  </si>
  <si>
    <t xml:space="preserve">Miscellaneous Supplies &amp; Materials</t>
  </si>
  <si>
    <t xml:space="preserve">Miscellaneous supplies and materials.</t>
  </si>
  <si>
    <t xml:space="preserve">1.053</t>
  </si>
  <si>
    <t xml:space="preserve">Safety Supplies</t>
  </si>
  <si>
    <t xml:space="preserve">Safety supplies, fall protection, first aid.</t>
  </si>
  <si>
    <t xml:space="preserve">1.054</t>
  </si>
  <si>
    <t xml:space="preserve">Site Signage</t>
  </si>
  <si>
    <t xml:space="preserve">Site signage.</t>
  </si>
  <si>
    <t xml:space="preserve">1.056</t>
  </si>
  <si>
    <t xml:space="preserve">Sidewalk / Road Protection</t>
  </si>
  <si>
    <t xml:space="preserve">Sidewalk and road protection; existing driveway kept for access during construction.</t>
  </si>
  <si>
    <t xml:space="preserve">1.063</t>
  </si>
  <si>
    <t xml:space="preserve">Insurance</t>
  </si>
  <si>
    <t xml:space="preserve">Builder's risk insurance.</t>
  </si>
  <si>
    <t xml:space="preserve">1.069</t>
  </si>
  <si>
    <t xml:space="preserve">Line Protection / Utility Locates</t>
  </si>
  <si>
    <t xml:space="preserve">Utility locates.</t>
  </si>
  <si>
    <t xml:space="preserve">Subtotal — Site Supervision &amp; General Conditions</t>
  </si>
  <si>
    <t xml:space="preserve">DEMOLITION &amp; SITE PREPARATION</t>
  </si>
  <si>
    <t xml:space="preserve">1.068</t>
  </si>
  <si>
    <t xml:space="preserve">Environmental Abatement</t>
  </si>
  <si>
    <t xml:space="preserve">Provisional environmental abatement allowance for existing house (asbestos/vermiculite).</t>
  </si>
  <si>
    <t xml:space="preserve">2.001</t>
  </si>
  <si>
    <t xml:space="preserve">House Demolition</t>
  </si>
  <si>
    <t xml:space="preserve">Demolish existing 1-storey dwelling incl. basement, foundations and rear shed; dispose.</t>
  </si>
  <si>
    <t xml:space="preserve">Square Foot</t>
  </si>
  <si>
    <t xml:space="preserve">2.003</t>
  </si>
  <si>
    <t xml:space="preserve">Site Clearing</t>
  </si>
  <si>
    <t xml:space="preserve">Site clearing of shrubs, vegetation and stumps within the building and work area.</t>
  </si>
  <si>
    <t xml:space="preserve">Subtotal — Demolition &amp; Site Preparation</t>
  </si>
  <si>
    <t xml:space="preserve">EXCAVATION, BACKFILL &amp; GRADING</t>
  </si>
  <si>
    <t xml:space="preserve">2.019</t>
  </si>
  <si>
    <t xml:space="preserve">Excavation &amp; Ground works</t>
  </si>
  <si>
    <t xml:space="preserve">Excavate basement (1,460 SF, BFE 98.55) plus overdig and frost wall trenches; incl. haul-away of excess per index scope.</t>
  </si>
  <si>
    <t xml:space="preserve">Cubic Yard</t>
  </si>
  <si>
    <t xml:space="preserve">2.070</t>
  </si>
  <si>
    <t xml:space="preserve">Backfill</t>
  </si>
  <si>
    <t xml:space="preserve">Backfill foundation walls and frost walls.</t>
  </si>
  <si>
    <t xml:space="preserve">2.073</t>
  </si>
  <si>
    <t xml:space="preserve">Rough Grading</t>
  </si>
  <si>
    <t xml:space="preserve">Rough grading around building per AM Engineering grading plan.</t>
  </si>
  <si>
    <t xml:space="preserve">2.071</t>
  </si>
  <si>
    <t xml:space="preserve">Service Trenching</t>
  </si>
  <si>
    <t xml:space="preserve">Service trenching for new water and sewer laterals to 1.0 m from building face.</t>
  </si>
  <si>
    <t xml:space="preserve">Subtotal — Excavation, Backfill &amp; Grading</t>
  </si>
  <si>
    <t xml:space="preserve">FOOTINGS, FOUNDATION &amp; WATERPROOFING</t>
  </si>
  <si>
    <t xml:space="preserve">2.046</t>
  </si>
  <si>
    <t xml:space="preserve">Footings (Forming, Rebar &amp; Concrete)</t>
  </si>
  <si>
    <t xml:space="preserve">Strip footings at basement, garage and patio frost walls plus pad footings, all-in.</t>
  </si>
  <si>
    <t xml:space="preserve">2.080</t>
  </si>
  <si>
    <t xml:space="preserve">Foundation Walls - Poured In Place (8" formed, 3-bar)</t>
  </si>
  <si>
    <t xml:space="preserve">Basement foundation walls incl. cold room, approx. 8'-10" high, all-in. Drawings show 10"/12" walls; confirm thickness.</t>
  </si>
  <si>
    <t xml:space="preserve">Garage and rear patio frost walls (unexcavated areas), all-in.</t>
  </si>
  <si>
    <t xml:space="preserve">2.051</t>
  </si>
  <si>
    <t xml:space="preserve">Waterproofing</t>
  </si>
  <si>
    <t xml:space="preserve">Bituminous dampproofing and drainage mat on basement walls below grade.</t>
  </si>
  <si>
    <t xml:space="preserve">2.053</t>
  </si>
  <si>
    <t xml:space="preserve">Weeping Tile</t>
  </si>
  <si>
    <t xml:space="preserve">Weeping tile at basement footing perimeter to sump.</t>
  </si>
  <si>
    <t xml:space="preserve">2.058</t>
  </si>
  <si>
    <t xml:space="preserve">Perimeter Drainage 3/4" Crush</t>
  </si>
  <si>
    <t xml:space="preserve">3/4" clear stone cover over weeping tile.</t>
  </si>
  <si>
    <t xml:space="preserve">Ton</t>
  </si>
  <si>
    <t xml:space="preserve">3.105</t>
  </si>
  <si>
    <t xml:space="preserve">Concrete Pump (hardscape)</t>
  </si>
  <si>
    <t xml:space="preserve">Concrete pumping, all foundation and slab pours (approx. 100 CY).</t>
  </si>
  <si>
    <t xml:space="preserve">Subtotal — Footings, Foundation &amp; Waterproofing</t>
  </si>
  <si>
    <t xml:space="preserve">CONCRETE SLABS</t>
  </si>
  <si>
    <t xml:space="preserve">2.054</t>
  </si>
  <si>
    <t xml:space="preserve">Basement Slab</t>
  </si>
  <si>
    <t xml:space="preserve">Basement slab: 3" 25 MPa on 6" granular, R10 perimeter insulation per slab detail.</t>
  </si>
  <si>
    <t xml:space="preserve">Garage slab on compacted granular.</t>
  </si>
  <si>
    <t xml:space="preserve">2.056</t>
  </si>
  <si>
    <t xml:space="preserve">Porch Slabs</t>
  </si>
  <si>
    <t xml:space="preserve">Front porch (60 SF) and raised rear covered patio (204 SF) slabs.</t>
  </si>
  <si>
    <t xml:space="preserve">Subtotal — Concrete Slabs</t>
  </si>
  <si>
    <t xml:space="preserve">FRAMING &amp; STRUCTURAL STEEL</t>
  </si>
  <si>
    <t xml:space="preserve">3.002</t>
  </si>
  <si>
    <t xml:space="preserve">Framing Materials</t>
  </si>
  <si>
    <t xml:space="preserve">Framing materials: house 2,930 SF + garage 548 SF, incl. floors, walls, roof trusses, flat roofs, sheathing. LIVE LUMBER QUOTE REQUIRED.</t>
  </si>
  <si>
    <t xml:space="preserve">3.006</t>
  </si>
  <si>
    <t xml:space="preserve">Framing Labour</t>
  </si>
  <si>
    <t xml:space="preserve">Framing labour, same area.</t>
  </si>
  <si>
    <t xml:space="preserve">3.133</t>
  </si>
  <si>
    <t xml:space="preserve">Back Framing - Whole-House Basis (budget stage)</t>
  </si>
  <si>
    <t xml:space="preserve">Back framing, whole-house budget basis (blocking, bulkheads, stair framing).</t>
  </si>
  <si>
    <t xml:space="preserve">3.009</t>
  </si>
  <si>
    <t xml:space="preserve">Steel Beams</t>
  </si>
  <si>
    <t xml:space="preserve">Steel beams: W10x22 x2 (basement), W8x28, W8x31/W10x22, W8x18 x2, W10x26 (garage).</t>
  </si>
  <si>
    <t xml:space="preserve">3.010</t>
  </si>
  <si>
    <t xml:space="preserve">Steel Posts</t>
  </si>
  <si>
    <t xml:space="preserve">Steel posts / columns with base plates.</t>
  </si>
  <si>
    <t xml:space="preserve">Subtotal — Framing &amp; Structural Steel</t>
  </si>
  <si>
    <t xml:space="preserve">ROOFING, SOFFIT, FASCIA &amp; EAVES</t>
  </si>
  <si>
    <t xml:space="preserve">3.014</t>
  </si>
  <si>
    <t xml:space="preserve">Roofing material &amp; labour (Shingle)</t>
  </si>
  <si>
    <t xml:space="preserve">Asphalt shingle hip roof incl. underlayment, ice &amp; water, flashings and roof vents (5/12, approx. 1,850 SF).</t>
  </si>
  <si>
    <t xml:space="preserve">3.015</t>
  </si>
  <si>
    <t xml:space="preserve">Torch on install and supply (Flat Roof)</t>
  </si>
  <si>
    <t xml:space="preserve">Torch-on flat roof membrane over garage, front porch, rear patio and front roof sections, sloped 2% to scuppers.</t>
  </si>
  <si>
    <t xml:space="preserve">3.032</t>
  </si>
  <si>
    <t xml:space="preserve">Flashing and aluminum capping</t>
  </si>
  <si>
    <t xml:space="preserve">Aluminum parapet capping and flashing at flat roofs.</t>
  </si>
  <si>
    <t xml:space="preserve">3.069</t>
  </si>
  <si>
    <t xml:space="preserve">Soffits</t>
  </si>
  <si>
    <t xml:space="preserve">Prefinished aluminum soffit.</t>
  </si>
  <si>
    <t xml:space="preserve">3.070</t>
  </si>
  <si>
    <t xml:space="preserve">Fascia</t>
  </si>
  <si>
    <t xml:space="preserve">Prefinished aluminum fascia.</t>
  </si>
  <si>
    <t xml:space="preserve">3.071</t>
  </si>
  <si>
    <t xml:space="preserve">Eavestroughs &amp; Downspouts</t>
  </si>
  <si>
    <t xml:space="preserve">Eavestrough and downspouts.</t>
  </si>
  <si>
    <t xml:space="preserve">Subtotal — Roofing, Soffit, Fascia &amp; Eaves</t>
  </si>
  <si>
    <t xml:space="preserve">WINDOWS &amp; EXTERIOR DOORS</t>
  </si>
  <si>
    <t xml:space="preserve">3.019</t>
  </si>
  <si>
    <t xml:space="preserve">Windows (Basic vinyl)</t>
  </si>
  <si>
    <t xml:space="preserve">Vinyl double-pane low-E windows W1-W8 (14 units, approx. 430 SF), supply and install.</t>
  </si>
  <si>
    <t xml:space="preserve">D3 vinyl patio sliding door 8'-0" x 9'-0" with transom, supply and install.</t>
  </si>
  <si>
    <t xml:space="preserve">3.027</t>
  </si>
  <si>
    <t xml:space="preserve">Exterior Doors (Basic Steel)</t>
  </si>
  <si>
    <t xml:space="preserve">Insulated steel exterior doors: D1 entry (with 2 sidelights), D2 garage man door, garage-to-house door (self-closing, gas-proofed).</t>
  </si>
  <si>
    <t xml:space="preserve">3.028</t>
  </si>
  <si>
    <t xml:space="preserve">Exterior Door Installation</t>
  </si>
  <si>
    <t xml:space="preserve">Exterior door installation.</t>
  </si>
  <si>
    <t xml:space="preserve">3.029</t>
  </si>
  <si>
    <t xml:space="preserve">Exterior Door Hardware</t>
  </si>
  <si>
    <t xml:space="preserve">Exterior door hardware (basic lever / entry handleset, deadbolt).</t>
  </si>
  <si>
    <t xml:space="preserve">3.030</t>
  </si>
  <si>
    <t xml:space="preserve">Garage Doors (standard size)</t>
  </si>
  <si>
    <t xml:space="preserve">D4 16'-0" x 8'-0" insulated steel garage door (opener not included).</t>
  </si>
  <si>
    <t xml:space="preserve">Subtotal — Windows &amp; Exterior Doors</t>
  </si>
  <si>
    <t xml:space="preserve">EXTERIOR CLADDING: BRICK, STONE &amp; STUCCO</t>
  </si>
  <si>
    <t xml:space="preserve">3.073</t>
  </si>
  <si>
    <t xml:space="preserve">Exterior Masonry material</t>
  </si>
  <si>
    <t xml:space="preserve">Brick and stone veneer, main floor and 4 stone columns, incl. ties, precast sills, brick ledge (supply and install).</t>
  </si>
  <si>
    <t xml:space="preserve">3.078</t>
  </si>
  <si>
    <t xml:space="preserve">Stucco</t>
  </si>
  <si>
    <t xml:space="preserve">Stucco veneer w/ R5 rigid, 2nd floor and parapets (supply and install).</t>
  </si>
  <si>
    <t xml:space="preserve">3.061</t>
  </si>
  <si>
    <t xml:space="preserve">House Wrap</t>
  </si>
  <si>
    <t xml:space="preserve">Sheathing membrane (Tyvek) behind brick/stone veneer.</t>
  </si>
  <si>
    <t xml:space="preserve">3.072</t>
  </si>
  <si>
    <t xml:space="preserve">Exterior Caulking</t>
  </si>
  <si>
    <t xml:space="preserve">Exterior caulking at windows, doors and penetrations.</t>
  </si>
  <si>
    <t xml:space="preserve">Subtotal — Exterior Cladding: Brick, Stone &amp; Stucco</t>
  </si>
  <si>
    <t xml:space="preserve">PLUMBING ROUGH-IN</t>
  </si>
  <si>
    <t xml:space="preserve">3.001</t>
  </si>
  <si>
    <t xml:space="preserve">Plumbing - Underground</t>
  </si>
  <si>
    <t xml:space="preserve">Underground plumbing: basement drains, sump, floor drain, 3-pc rough-in drains, radon rough-in, laterals.</t>
  </si>
  <si>
    <t xml:space="preserve">3.047</t>
  </si>
  <si>
    <t xml:space="preserve">Rough-In Plumbing</t>
  </si>
  <si>
    <t xml:space="preserve">Plumbing rough-in: powder room, main bath, ensuite, kitchen, laundry, 2 hose bibs; basement 3-pc rough-in only.</t>
  </si>
  <si>
    <t xml:space="preserve">Subtotal — Plumbing Rough-In</t>
  </si>
  <si>
    <t xml:space="preserve">HVAC &amp; GAS ROUGH-IN</t>
  </si>
  <si>
    <t xml:space="preserve">3.048</t>
  </si>
  <si>
    <t xml:space="preserve">Rough-In Gas &amp; Venting</t>
  </si>
  <si>
    <t xml:space="preserve">Gas rough-in and venting: furnace, water heater, range.</t>
  </si>
  <si>
    <t xml:space="preserve">3.049</t>
  </si>
  <si>
    <t xml:space="preserve">Rough-In HVAC</t>
  </si>
  <si>
    <t xml:space="preserve">HVAC: high-efficiency gas furnace, central A/C, HRV, ductwork and controls.</t>
  </si>
  <si>
    <t xml:space="preserve">Subtotal — HVAC &amp; Gas Rough-In</t>
  </si>
  <si>
    <t xml:space="preserve">ELECTRICAL ROUGH-IN &amp; SERVICE</t>
  </si>
  <si>
    <t xml:space="preserve">3.046</t>
  </si>
  <si>
    <t xml:space="preserve">Electrical - Underground</t>
  </si>
  <si>
    <t xml:space="preserve">Electrical underground service trench from street.</t>
  </si>
  <si>
    <t xml:space="preserve">3.050</t>
  </si>
  <si>
    <t xml:space="preserve">Electrical Service (200 Amp if required)</t>
  </si>
  <si>
    <t xml:space="preserve">New 200 A electrical service and panel.</t>
  </si>
  <si>
    <t xml:space="preserve">3.051</t>
  </si>
  <si>
    <t xml:space="preserve">Electrical Rough-In</t>
  </si>
  <si>
    <t xml:space="preserve">Electrical rough-in: devices, pot lights, smoke/CO, appliance circuits; basic code lighting/outlets in basement.</t>
  </si>
  <si>
    <t xml:space="preserve">3.042</t>
  </si>
  <si>
    <t xml:space="preserve">Low voltage rough wire</t>
  </si>
  <si>
    <t xml:space="preserve">Low-voltage rough wire: data/coax to main locations.</t>
  </si>
  <si>
    <t xml:space="preserve">Subtotal — Electrical Rough-In &amp; Service</t>
  </si>
  <si>
    <t xml:space="preserve">INSULATION &amp; AIR SEALING</t>
  </si>
  <si>
    <t xml:space="preserve">3.054</t>
  </si>
  <si>
    <t xml:space="preserve">Batt Insulation</t>
  </si>
  <si>
    <t xml:space="preserve">R22 batt + 6 mil poly at above-grade walls (3,060 SF) and full-height basement wall blanket (1,450 SF).</t>
  </si>
  <si>
    <t xml:space="preserve">3.125</t>
  </si>
  <si>
    <t xml:space="preserve">Insulation (Blown-in)</t>
  </si>
  <si>
    <t xml:space="preserve">Blown-in attic insulation to SB-12 value.</t>
  </si>
  <si>
    <t xml:space="preserve">3.053</t>
  </si>
  <si>
    <t xml:space="preserve">Spray-foam</t>
  </si>
  <si>
    <t xml:space="preserve">Closed-cell spray foam at flat roof over office/entry and rim joists.</t>
  </si>
  <si>
    <t xml:space="preserve">3.056</t>
  </si>
  <si>
    <t xml:space="preserve">Air Testing (prior to drywall)</t>
  </si>
  <si>
    <t xml:space="preserve">Mid-construction air test before drywall (SB-12 performance path).</t>
  </si>
  <si>
    <t xml:space="preserve">Subtotal — Insulation &amp; Air Sealing</t>
  </si>
  <si>
    <t xml:space="preserve">DRYWALL (LEVEL 4, UNPRIMED)</t>
  </si>
  <si>
    <t xml:space="preserve">4.001</t>
  </si>
  <si>
    <t xml:space="preserve">Drywall (1/2")</t>
  </si>
  <si>
    <t xml:space="preserve">Drywall, Level 4 finish: main and 2nd floor + garage (rate on floor area). Basement NOT drywalled. No prime.</t>
  </si>
  <si>
    <t xml:space="preserve">Subtotal — Drywall (Level 4, unprimed)</t>
  </si>
  <si>
    <t xml:space="preserve">SITE CLEANUP &amp; CLOSEOUT</t>
  </si>
  <si>
    <t xml:space="preserve">5.001</t>
  </si>
  <si>
    <t xml:space="preserve">Consumables (Miscellaneous construction materials)</t>
  </si>
  <si>
    <t xml:space="preserve">Consumables.</t>
  </si>
  <si>
    <t xml:space="preserve">5.013</t>
  </si>
  <si>
    <t xml:space="preserve">Final Site Cleanup</t>
  </si>
  <si>
    <t xml:space="preserve">Site cleanup at drywall turnover.</t>
  </si>
  <si>
    <t xml:space="preserve">5.020</t>
  </si>
  <si>
    <t xml:space="preserve">Demobilization</t>
  </si>
  <si>
    <t xml:space="preserve">Demobilization.</t>
  </si>
  <si>
    <t xml:space="preserve">5.021</t>
  </si>
  <si>
    <t xml:space="preserve">Sign Removal</t>
  </si>
  <si>
    <t xml:space="preserve">Sign removal.</t>
  </si>
  <si>
    <t xml:space="preserve">Subtotal — Site Cleanup &amp; Closeout</t>
  </si>
  <si>
    <t xml:space="preserve">MUNICIPAL &amp; UTILITY FEES (PASS-THROUGH)</t>
  </si>
  <si>
    <t xml:space="preserve">1.016</t>
  </si>
  <si>
    <t xml:space="preserve">Building Permit Fees</t>
  </si>
  <si>
    <t xml:space="preserve">Building permit fees, City of Hamilton (new SFD + grading review). Pass-through at cost.</t>
  </si>
  <si>
    <t xml:space="preserve">1.034</t>
  </si>
  <si>
    <t xml:space="preserve">Development Charges</t>
  </si>
  <si>
    <t xml:space="preserve">Development charges, City of Hamilton. Knock-down-rebuild default; demolition credit to be confirmed.</t>
  </si>
  <si>
    <t xml:space="preserve">1.035</t>
  </si>
  <si>
    <t xml:space="preserve">Utility Connection Fees</t>
  </si>
  <si>
    <t xml:space="preserve">Utility connection fees bundle: water/sewer permits, gas and hydro service fees. Pass-through at cost.</t>
  </si>
  <si>
    <t xml:space="preserve">Subtotal — Municipal &amp; Utility Fees (pass-through)</t>
  </si>
  <si>
    <t xml:space="preserve">TURNKEY OPTION — ENTRY-LEVEL FINISHES TO OCCUPANCY</t>
  </si>
  <si>
    <t xml:space="preserve">Not included in the price to drywall. Shown so the client can see the cost to finish with PalmView.</t>
  </si>
  <si>
    <t xml:space="preserve">OPTIONAL — COST TO FINISH WITH PALMVIEW (ENTRY LEVEL)</t>
  </si>
  <si>
    <t xml:space="preserve">Mechanical &amp; Electrical Finish</t>
  </si>
  <si>
    <t xml:space="preserve">Prime &amp; Finish Paint</t>
  </si>
  <si>
    <t xml:space="preserve">Interior Doors, Trim &amp; Hardware</t>
  </si>
  <si>
    <t xml:space="preserve">Flooring &amp; Tile</t>
  </si>
  <si>
    <t xml:space="preserve">Stairs &amp; Railings</t>
  </si>
  <si>
    <t xml:space="preserve">Cabinets &amp; Countertops</t>
  </si>
  <si>
    <t xml:space="preserve">Fixtures, Lighting, Glass &amp; Appliances</t>
  </si>
  <si>
    <t xml:space="preserve">Exterior Railings, Steps, Driveway &amp; Sod</t>
  </si>
  <si>
    <t xml:space="preserve">Finishing Supervision, Inspections &amp; Closeout</t>
  </si>
  <si>
    <t xml:space="preserve">Total optional finishing</t>
  </si>
  <si>
    <t xml:space="preserve">Price to drywall (from Summary)</t>
  </si>
  <si>
    <t xml:space="preserve">TURNKEY TOTAL, ENTRY LEVEL (before HST)</t>
  </si>
  <si>
    <t xml:space="preserve">Turnkey price per SF above grade</t>
  </si>
  <si>
    <t xml:space="preserve">MECHANICAL &amp; ELECTRICAL FINISH</t>
  </si>
  <si>
    <t xml:space="preserve">3.037</t>
  </si>
  <si>
    <t xml:space="preserve">Plumbing - Finish &amp; Fixture Set</t>
  </si>
  <si>
    <t xml:space="preserve">Plumbing finish and fixture set (fixtures by allowance).</t>
  </si>
  <si>
    <t xml:space="preserve">3.035</t>
  </si>
  <si>
    <t xml:space="preserve">Gas - Finish &amp; Appliance Connections</t>
  </si>
  <si>
    <t xml:space="preserve">Gas finish and appliance connections.</t>
  </si>
  <si>
    <t xml:space="preserve">3.033</t>
  </si>
  <si>
    <t xml:space="preserve">HVAC - Finish, Equipment Set &amp; Startup</t>
  </si>
  <si>
    <t xml:space="preserve">HVAC finish, equipment set and startup.</t>
  </si>
  <si>
    <t xml:space="preserve">3.040</t>
  </si>
  <si>
    <t xml:space="preserve">Electrical - Finish, Devices &amp; Fixture Hookup</t>
  </si>
  <si>
    <t xml:space="preserve">Electrical finish, devices and fixture hookup (fixtures by allowance).</t>
  </si>
  <si>
    <t xml:space="preserve">Subtotal — Mechanical &amp; Electrical Finish</t>
  </si>
  <si>
    <t xml:space="preserve">PRIME &amp; FINISH PAINT</t>
  </si>
  <si>
    <t xml:space="preserve">4.002</t>
  </si>
  <si>
    <t xml:space="preserve">Interior Painting - Prime Coat</t>
  </si>
  <si>
    <t xml:space="preserve">Interior prime coat, main and 2nd floor.</t>
  </si>
  <si>
    <t xml:space="preserve">4.070</t>
  </si>
  <si>
    <t xml:space="preserve">Interior Painting - Finish Coats</t>
  </si>
  <si>
    <t xml:space="preserve">Interior finish paint, 2 coats, builder white, main and 2nd floor.</t>
  </si>
  <si>
    <t xml:space="preserve">Subtotal — Prime &amp; Finish Paint</t>
  </si>
  <si>
    <t xml:space="preserve">INTERIOR DOORS, TRIM &amp; HARDWARE</t>
  </si>
  <si>
    <t xml:space="preserve">4.004</t>
  </si>
  <si>
    <t xml:space="preserve">Interior Doors</t>
  </si>
  <si>
    <t xml:space="preserve">Interior doors, hollow-core moulded slab, pre-hung, installed.</t>
  </si>
  <si>
    <t xml:space="preserve">4.006</t>
  </si>
  <si>
    <t xml:space="preserve">Interior Door Hardware</t>
  </si>
  <si>
    <t xml:space="preserve">Interior door hardware, entry-level levers.</t>
  </si>
  <si>
    <t xml:space="preserve">4.008</t>
  </si>
  <si>
    <t xml:space="preserve">Molding Materials</t>
  </si>
  <si>
    <t xml:space="preserve">MDF baseboard and casing, paint grade.</t>
  </si>
  <si>
    <t xml:space="preserve">4.010</t>
  </si>
  <si>
    <t xml:space="preserve">Finish Carpentry (Trim Moldings and doors labour)</t>
  </si>
  <si>
    <t xml:space="preserve">Finish carpentry labour, trim install.</t>
  </si>
  <si>
    <t xml:space="preserve">Hours</t>
  </si>
  <si>
    <t xml:space="preserve">Subtotal — Interior Doors, Trim &amp; Hardware</t>
  </si>
  <si>
    <t xml:space="preserve">FLOORING &amp; TILE</t>
  </si>
  <si>
    <t xml:space="preserve">4.052</t>
  </si>
  <si>
    <t xml:space="preserve">Flooring Allowance (if applicable)</t>
  </si>
  <si>
    <t xml:space="preserve">Flooring allowance: vinyl plank / laminate, main and 2nd floor, supply and install.</t>
  </si>
  <si>
    <t xml:space="preserve">4.053</t>
  </si>
  <si>
    <t xml:space="preserve">Tile Allowance (if applicable)</t>
  </si>
  <si>
    <t xml:space="preserve">Tile supply allowance: bath/laundry/entry floors, shower and tub walls, backsplash.</t>
  </si>
  <si>
    <t xml:space="preserve">4.014</t>
  </si>
  <si>
    <t xml:space="preserve">Tile Installation Labour (general floor &amp; wall)</t>
  </si>
  <si>
    <t xml:space="preserve">Tile install labour, floors.</t>
  </si>
  <si>
    <t xml:space="preserve">4.013</t>
  </si>
  <si>
    <t xml:space="preserve">Tile Setting Materials (thinset, membrane, backer)</t>
  </si>
  <si>
    <t xml:space="preserve">Tile setting materials, floors.</t>
  </si>
  <si>
    <t xml:space="preserve">4.061</t>
  </si>
  <si>
    <t xml:space="preserve">Tile Shower Wall - Install (labour + setting materials)</t>
  </si>
  <si>
    <t xml:space="preserve">Tile install, shower and tub walls (labour + setting materials).</t>
  </si>
  <si>
    <t xml:space="preserve">4.060</t>
  </si>
  <si>
    <t xml:space="preserve">Tile Shower Floor - Install (labour + setting materials)</t>
  </si>
  <si>
    <t xml:space="preserve">Tile install, ensuite shower floor.</t>
  </si>
  <si>
    <t xml:space="preserve">4.062</t>
  </si>
  <si>
    <t xml:space="preserve">Tile Backsplash - Install (labour + setting materials)</t>
  </si>
  <si>
    <t xml:space="preserve">Tile install, kitchen backsplash.</t>
  </si>
  <si>
    <t xml:space="preserve">Subtotal — Flooring &amp; Tile</t>
  </si>
  <si>
    <t xml:space="preserve">STAIRS &amp; RAILINGS</t>
  </si>
  <si>
    <t xml:space="preserve">4.030</t>
  </si>
  <si>
    <t xml:space="preserve">Custom Stairs</t>
  </si>
  <si>
    <t xml:space="preserve">Main-to-2nd floor stair finish (basement stair left as framed).</t>
  </si>
  <si>
    <t xml:space="preserve">4.029</t>
  </si>
  <si>
    <t xml:space="preserve">Interior Railing</t>
  </si>
  <si>
    <t xml:space="preserve">Interior railing, stair and 2nd floor landing, entry-level oak/picket.</t>
  </si>
  <si>
    <t xml:space="preserve">Subtotal — Stairs &amp; Railings</t>
  </si>
  <si>
    <t xml:space="preserve">CABINETS &amp; COUNTERTOPS</t>
  </si>
  <si>
    <t xml:space="preserve">4.032</t>
  </si>
  <si>
    <t xml:space="preserve">Cabinets - Pre-manufactured</t>
  </si>
  <si>
    <t xml:space="preserve">Pre-manufactured cabinets: kitchen, island, pantry, laundry.</t>
  </si>
  <si>
    <t xml:space="preserve">4.034</t>
  </si>
  <si>
    <t xml:space="preserve">Cabinet install</t>
  </si>
  <si>
    <t xml:space="preserve">Cabinet install.</t>
  </si>
  <si>
    <t xml:space="preserve">4.054</t>
  </si>
  <si>
    <t xml:space="preserve">Cabinet Hardware Allowance (if applicable)</t>
  </si>
  <si>
    <t xml:space="preserve">Cabinet hardware allowance.</t>
  </si>
  <si>
    <t xml:space="preserve">4.035</t>
  </si>
  <si>
    <t xml:space="preserve">Countertops</t>
  </si>
  <si>
    <t xml:space="preserve">Countertops, entry-level quartz/laminate, kitchen and island.</t>
  </si>
  <si>
    <t xml:space="preserve">Subtotal — Cabinets &amp; Countertops</t>
  </si>
  <si>
    <t xml:space="preserve">FIXTURES, LIGHTING, GLASS &amp; APPLIANCES</t>
  </si>
  <si>
    <t xml:space="preserve">4.064</t>
  </si>
  <si>
    <t xml:space="preserve">Bath Vanities</t>
  </si>
  <si>
    <t xml:space="preserve">Bath vanities with tops: powder, main bath, ensuite.</t>
  </si>
  <si>
    <t xml:space="preserve">4.050</t>
  </si>
  <si>
    <t xml:space="preserve">Plumbing Fixture Allowance</t>
  </si>
  <si>
    <t xml:space="preserve">Plumbing fixture allowance (3 toilets, faucets, tub, freestanding tub, shower valve, kitchen sink, laundry tub).</t>
  </si>
  <si>
    <t xml:space="preserve">4.051</t>
  </si>
  <si>
    <t xml:space="preserve">Lighting Fixture Allowance</t>
  </si>
  <si>
    <t xml:space="preserve">Interior lighting fixture allowance.</t>
  </si>
  <si>
    <t xml:space="preserve">3.091</t>
  </si>
  <si>
    <t xml:space="preserve">Exterior Lighting</t>
  </si>
  <si>
    <t xml:space="preserve">Exterior light fixture allowance.</t>
  </si>
  <si>
    <t xml:space="preserve">4.058</t>
  </si>
  <si>
    <t xml:space="preserve">Shower Glass</t>
  </si>
  <si>
    <t xml:space="preserve">Ensuite shower glass.</t>
  </si>
  <si>
    <t xml:space="preserve">4.069</t>
  </si>
  <si>
    <t xml:space="preserve">Mirrors</t>
  </si>
  <si>
    <t xml:space="preserve">Bathroom mirrors.</t>
  </si>
  <si>
    <t xml:space="preserve">4.040</t>
  </si>
  <si>
    <t xml:space="preserve">Hardware &amp; Accessories fixtures</t>
  </si>
  <si>
    <t xml:space="preserve">Bath accessories (towel bars, TP holders).</t>
  </si>
  <si>
    <t xml:space="preserve">4.037</t>
  </si>
  <si>
    <t xml:space="preserve">Appliance Package</t>
  </si>
  <si>
    <t xml:space="preserve">Appliance package allowance, entry level (fridge, range, DW, hood, W/D).</t>
  </si>
  <si>
    <t xml:space="preserve">Subtotal — Fixtures, Lighting, Glass &amp; Appliances</t>
  </si>
  <si>
    <t xml:space="preserve">EXTERIOR RAILINGS, STEPS, DRIVEWAY &amp; SOD</t>
  </si>
  <si>
    <t xml:space="preserve">3.092</t>
  </si>
  <si>
    <t xml:space="preserve">Exterior Railing</t>
  </si>
  <si>
    <t xml:space="preserve">Exterior aluminum vista railing at raised patio and front steps.</t>
  </si>
  <si>
    <t xml:space="preserve">3.108</t>
  </si>
  <si>
    <t xml:space="preserve">Masonry Supply</t>
  </si>
  <si>
    <t xml:space="preserve">Precast steps, front porch and rear patio (supply).</t>
  </si>
  <si>
    <t xml:space="preserve">3.109</t>
  </si>
  <si>
    <t xml:space="preserve">Masonry Labour</t>
  </si>
  <si>
    <t xml:space="preserve">Precast steps, install.</t>
  </si>
  <si>
    <t xml:space="preserve">3.110</t>
  </si>
  <si>
    <t xml:space="preserve">Asphalt areas</t>
  </si>
  <si>
    <t xml:space="preserve">New asphalt driveway (approx. 24'-6" x 36').</t>
  </si>
  <si>
    <t xml:space="preserve">3.120</t>
  </si>
  <si>
    <t xml:space="preserve">Grass roll Supply</t>
  </si>
  <si>
    <t xml:space="preserve">Sod supply, disturbed areas.</t>
  </si>
  <si>
    <t xml:space="preserve">3.121</t>
  </si>
  <si>
    <t xml:space="preserve">Grass roll Labour</t>
  </si>
  <si>
    <t xml:space="preserve">Sod install.</t>
  </si>
  <si>
    <t xml:space="preserve">Subtotal — Exterior Railings, Steps, Driveway &amp; Sod</t>
  </si>
  <si>
    <t xml:space="preserve">FINISHING SUPERVISION, INSPECTIONS &amp; CLOSEOUT</t>
  </si>
  <si>
    <t xml:space="preserve">Site supervision and PM, finishing phase, 3 additional months.</t>
  </si>
  <si>
    <t xml:space="preserve">Waste bins, finishing phase.</t>
  </si>
  <si>
    <t xml:space="preserve">5.005</t>
  </si>
  <si>
    <t xml:space="preserve">Final Grade</t>
  </si>
  <si>
    <t xml:space="preserve">Final grading and lot grading certificate.</t>
  </si>
  <si>
    <t xml:space="preserve">3.060</t>
  </si>
  <si>
    <t xml:space="preserve">Final Air test</t>
  </si>
  <si>
    <t xml:space="preserve">Final air test.</t>
  </si>
  <si>
    <t xml:space="preserve">5.006</t>
  </si>
  <si>
    <t xml:space="preserve">HVAC Balancing</t>
  </si>
  <si>
    <t xml:space="preserve">HVAC balancing.</t>
  </si>
  <si>
    <t xml:space="preserve">5.007</t>
  </si>
  <si>
    <t xml:space="preserve">Electrical Inspection (ESA)</t>
  </si>
  <si>
    <t xml:space="preserve">ESA final inspection.</t>
  </si>
  <si>
    <t xml:space="preserve">5.008</t>
  </si>
  <si>
    <t xml:space="preserve">Final Building Inspections</t>
  </si>
  <si>
    <t xml:space="preserve">Final building inspections.</t>
  </si>
  <si>
    <t xml:space="preserve">5.009</t>
  </si>
  <si>
    <t xml:space="preserve">Occupancy Requirements</t>
  </si>
  <si>
    <t xml:space="preserve">Occupancy requirements.</t>
  </si>
  <si>
    <t xml:space="preserve">5.010</t>
  </si>
  <si>
    <t xml:space="preserve">Professional Final Cleaning</t>
  </si>
  <si>
    <t xml:space="preserve">Professional final cleaning.</t>
  </si>
  <si>
    <t xml:space="preserve">5.012</t>
  </si>
  <si>
    <t xml:space="preserve">Deficiency Completion / Touch-Ups</t>
  </si>
  <si>
    <t xml:space="preserve">Deficiency completion and touch-ups.</t>
  </si>
  <si>
    <t xml:space="preserve">5.014</t>
  </si>
  <si>
    <t xml:space="preserve">Warranty Service Allowance</t>
  </si>
  <si>
    <t xml:space="preserve">Warranty service reserve.</t>
  </si>
  <si>
    <t xml:space="preserve">Subtotal — Finishing Supervision, Inspections &amp; Closeout</t>
  </si>
  <si>
    <t xml:space="preserve">APPROXIMATE SCHEDULE</t>
  </si>
  <si>
    <t xml:space="preserve">Week 1 = construction start after permit. Change the yellow start date and every date updates.</t>
  </si>
  <si>
    <t xml:space="preserve">Construction start (Week 1, Monday)</t>
  </si>
  <si>
    <t xml:space="preserve">Phase</t>
  </si>
  <si>
    <t xml:space="preserve">Trade</t>
  </si>
  <si>
    <t xml:space="preserve">Start Wk</t>
  </si>
  <si>
    <t xml:space="preserve">Weeks</t>
  </si>
  <si>
    <t xml:space="preserve">End Wk</t>
  </si>
  <si>
    <t xml:space="preserve">Start</t>
  </si>
  <si>
    <t xml:space="preserve">Finish</t>
  </si>
  <si>
    <t xml:space="preserve">PRE-CONSTRUCTION</t>
  </si>
  <si>
    <t xml:space="preserve">Permit issuance, utility disconnects, hazardous survey</t>
  </si>
  <si>
    <t xml:space="preserve">Owner / PalmView</t>
  </si>
  <si>
    <t xml:space="preserve">FIXED SCOPE — TO DRYWALL</t>
  </si>
  <si>
    <t xml:space="preserve">Site setup, fencing, tree protection</t>
  </si>
  <si>
    <t xml:space="preserve">PalmView</t>
  </si>
  <si>
    <t xml:space="preserve">Abatement (if required)</t>
  </si>
  <si>
    <t xml:space="preserve">Abatement</t>
  </si>
  <si>
    <t xml:space="preserve">Demolition &amp; site clearing</t>
  </si>
  <si>
    <t xml:space="preserve">Demolition</t>
  </si>
  <si>
    <t xml:space="preserve">Stakeout &amp; excavation</t>
  </si>
  <si>
    <t xml:space="preserve">Survey / Excavation</t>
  </si>
  <si>
    <t xml:space="preserve">Footings</t>
  </si>
  <si>
    <t xml:space="preserve">Forming</t>
  </si>
  <si>
    <t xml:space="preserve">Foundation walls</t>
  </si>
  <si>
    <t xml:space="preserve">Dampproofing, weeping tile, underground services</t>
  </si>
  <si>
    <t xml:space="preserve">Waterproof / Plumber</t>
  </si>
  <si>
    <t xml:space="preserve">Backfill &amp; rough grade</t>
  </si>
  <si>
    <t xml:space="preserve">Excavation</t>
  </si>
  <si>
    <t xml:space="preserve">Framing &amp; structural steel</t>
  </si>
  <si>
    <t xml:space="preserve">Framer / Steel</t>
  </si>
  <si>
    <t xml:space="preserve">Roof trusses (crane) &amp; sheathing</t>
  </si>
  <si>
    <t xml:space="preserve">Framer</t>
  </si>
  <si>
    <t xml:space="preserve">Roofing: shingles &amp; flat roofs</t>
  </si>
  <si>
    <t xml:space="preserve">Roofer</t>
  </si>
  <si>
    <t xml:space="preserve">Windows &amp; exterior doors</t>
  </si>
  <si>
    <t xml:space="preserve">Windows</t>
  </si>
  <si>
    <t xml:space="preserve">Plumbing, gas, HVAC &amp; electrical rough-ins</t>
  </si>
  <si>
    <t xml:space="preserve">Mech / Elec</t>
  </si>
  <si>
    <t xml:space="preserve">Basement &amp; garage slabs</t>
  </si>
  <si>
    <t xml:space="preserve">Concrete</t>
  </si>
  <si>
    <t xml:space="preserve">Brick, stone &amp; stucco</t>
  </si>
  <si>
    <t xml:space="preserve">Mason / Stucco</t>
  </si>
  <si>
    <t xml:space="preserve">Framing &amp; rough-in inspections</t>
  </si>
  <si>
    <t xml:space="preserve">City of Hamilton</t>
  </si>
  <si>
    <t xml:space="preserve">Insulation, spray foam, air test</t>
  </si>
  <si>
    <t xml:space="preserve">Insulator</t>
  </si>
  <si>
    <t xml:space="preserve">Soffit, fascia, eavestrough</t>
  </si>
  <si>
    <t xml:space="preserve">Exterior</t>
  </si>
  <si>
    <t xml:space="preserve">Drywall: board, tape, finish (Level 4)</t>
  </si>
  <si>
    <t xml:space="preserve">Drywaller</t>
  </si>
  <si>
    <t xml:space="preserve">Drywall complete — fixed scope handover</t>
  </si>
  <si>
    <t xml:space="preserve">OPTIONAL — FINISH TO OCCUPANCY</t>
  </si>
  <si>
    <t xml:space="preserve">Prime, trim, doors, stairs &amp; railings</t>
  </si>
  <si>
    <t xml:space="preserve">Finish carpentry</t>
  </si>
  <si>
    <t xml:space="preserve">Cabinets &amp; countertops</t>
  </si>
  <si>
    <t xml:space="preserve">Cabinets / Counters</t>
  </si>
  <si>
    <t xml:space="preserve">Flooring &amp; tile</t>
  </si>
  <si>
    <t xml:space="preserve">Flooring / Tile</t>
  </si>
  <si>
    <t xml:space="preserve">Finish paint</t>
  </si>
  <si>
    <t xml:space="preserve">Painter</t>
  </si>
  <si>
    <t xml:space="preserve">Mechanical &amp; electrical finish, fixtures</t>
  </si>
  <si>
    <t xml:space="preserve">Final grade, driveway, sod</t>
  </si>
  <si>
    <t xml:space="preserve">Landscape / Paving</t>
  </si>
  <si>
    <t xml:space="preserve">Final clean, inspections, occupancy</t>
  </si>
  <si>
    <t xml:space="preserve">PalmView / City</t>
  </si>
  <si>
    <t xml:space="preserve">Deficiencies &amp; handover</t>
  </si>
  <si>
    <t xml:space="preserve">KEY DATES</t>
  </si>
  <si>
    <t xml:space="preserve">Construction start</t>
  </si>
  <si>
    <t xml:space="preserve">Foundation complete</t>
  </si>
  <si>
    <t xml:space="preserve">Closed in: framed, roofed, windows</t>
  </si>
  <si>
    <t xml:space="preserve">DRYWALL COMPLETE — FIXED SCOPE DONE (~6 months)</t>
  </si>
  <si>
    <t xml:space="preserve">Occupancy, if finishing is added (~9 months)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</si>
</sst>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SF&quot;"/>
    <numFmt numFmtId="166" formatCode="\$#,##0;&quot;($&quot;#,##0\);\–"/>
    <numFmt numFmtId="167" formatCode="0%"/>
    <numFmt numFmtId="168" formatCode="\$#,##0"/>
    <numFmt numFmtId="169" formatCode="0.0%"/>
    <numFmt numFmtId="170" formatCode="0.0%;\(0.0%\);\–"/>
    <numFmt numFmtId="171" formatCode="#,##0"/>
    <numFmt numFmtId="172" formatCode="\$#,##0.00;&quot;($&quot;#,##0.00\);\–"/>
    <numFmt numFmtId="173" formatCode="mmm\ d&quot;, &quot;yyyy"/>
    <numFmt numFmtId="174" formatCode="General"/>
    <numFmt numFmtId="175" formatCode="mmm\ d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CEBE2"/>
      <name val="Arial"/>
      <family val="0"/>
      <charset val="1"/>
    </font>
    <font>
      <b val="true"/>
      <sz val="8.5"/>
      <color rgb="FF2E7D5B"/>
      <name val="Arial"/>
      <family val="0"/>
      <charset val="1"/>
    </font>
    <font>
      <b val="true"/>
      <sz val="18"/>
      <color rgb="FF1F3A2E"/>
      <name val="Arial"/>
      <family val="0"/>
      <charset val="1"/>
    </font>
    <font>
      <b val="true"/>
      <sz val="16"/>
      <color rgb="FF1F3A2E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1"/>
      <color rgb="FF1F3A2E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3A2E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77777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.5"/>
      <color rgb="FF1F3A2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F3A2E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.5"/>
      <color rgb="FF2E7D5B"/>
      <name val="Arial"/>
      <family val="0"/>
      <charset val="1"/>
    </font>
    <font>
      <sz val="9.5"/>
      <color rgb="FF2E7D5B"/>
      <name val="Arial"/>
      <family val="0"/>
      <charset val="1"/>
    </font>
    <font>
      <sz val="9.5"/>
      <color rgb="FFA33A3A"/>
      <name val="Arial"/>
      <family val="0"/>
      <charset val="1"/>
    </font>
    <font>
      <i val="true"/>
      <sz val="8.5"/>
      <color rgb="FF777777"/>
      <name val="Arial"/>
      <family val="0"/>
      <charset val="1"/>
    </font>
    <font>
      <sz val="9"/>
      <color rgb="FF666666"/>
      <name val="Arial"/>
      <family val="0"/>
      <charset val="1"/>
    </font>
    <font>
      <sz val="9.5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7.5"/>
      <color rgb="FF1F3A2E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sz val="8.5"/>
      <color rgb="FF666666"/>
      <name val="Arial"/>
      <family val="0"/>
      <charset val="1"/>
    </font>
    <font>
      <b val="true"/>
      <sz val="9.5"/>
      <color rgb="FF1F3A2E"/>
      <name val="Arial"/>
      <family val="0"/>
      <charset val="1"/>
    </font>
    <font>
      <sz val="10"/>
      <color rgb="FF1F3A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2E"/>
        <bgColor rgb="FF222222"/>
      </patternFill>
    </fill>
    <fill>
      <patternFill patternType="solid">
        <fgColor rgb="FFF3F8F5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2B3"/>
        <bgColor rgb="FFFFFDE7"/>
      </patternFill>
    </fill>
    <fill>
      <patternFill patternType="solid">
        <fgColor rgb="FFDCEBE2"/>
        <bgColor rgb="FFF3F8F5"/>
      </patternFill>
    </fill>
    <fill>
      <patternFill patternType="solid">
        <fgColor rgb="FF2E7D5B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medium">
        <color rgb="FF2E7D5B"/>
      </top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2E7D5B"/>
      </bottom>
      <diagonal/>
    </border>
    <border diagonalUp="false" diagonalDown="false">
      <left style="thin">
        <color rgb="FFC9D6CE"/>
      </left>
      <right style="thin">
        <color rgb="FFC9D6CE"/>
      </right>
      <top style="thin">
        <color rgb="FFC9D6CE"/>
      </top>
      <bottom style="thin">
        <color rgb="FFC9D6CE"/>
      </bottom>
      <diagonal/>
    </border>
    <border diagonalUp="false" diagonalDown="false">
      <left/>
      <right/>
      <top style="thin">
        <color rgb="FF2E7D5B"/>
      </top>
      <bottom/>
      <diagonal/>
    </border>
    <border diagonalUp="false" diagonalDown="false">
      <left/>
      <right/>
      <top/>
      <bottom style="thin">
        <color rgb="FFC9D6CE"/>
      </bottom>
      <diagonal/>
    </border>
    <border diagonalUp="false" diagonalDown="false">
      <left/>
      <right/>
      <top style="thin">
        <color rgb="FF2E7D5B"/>
      </top>
      <bottom style="double">
        <color rgb="FF2E7D5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3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9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2E7D5B"/>
        </patternFill>
      </fill>
    </dxf>
    <dxf>
      <fill>
        <patternFill>
          <bgColor rgb="FFA9C9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C9B6"/>
      <rgbColor rgb="FF777777"/>
      <rgbColor rgb="FF9999FF"/>
      <rgbColor rgb="FFA33A3A"/>
      <rgbColor rgb="FFFFFDE7"/>
      <rgbColor rgb="FFF3F8F5"/>
      <rgbColor rgb="FF660066"/>
      <rgbColor rgb="FFFF8080"/>
      <rgbColor rgb="FF0066CC"/>
      <rgbColor rgb="FFC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E2"/>
      <rgbColor rgb="FFFFF2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5B"/>
      <rgbColor rgb="FF003300"/>
      <rgbColor rgb="FF222222"/>
      <rgbColor rgb="FF993300"/>
      <rgbColor rgb="FF993366"/>
      <rgbColor rgb="FF555555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5" min="4" style="0" width="17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1"/>
    </row>
    <row r="2" customFormat="false" ht="19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1"/>
    </row>
    <row r="4" customFormat="false" ht="19.5" hidden="false" customHeight="true" outlineLevel="0" collapsed="false"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customFormat="false" ht="33.75" hidden="false" customHeight="true" outlineLevel="0" collapsed="false">
      <c r="C5" s="5" t="n">
        <f aca="false">D12</f>
        <v>2930</v>
      </c>
      <c r="D5" s="6" t="n">
        <f aca="false">E37</f>
        <v>1759497.875</v>
      </c>
      <c r="E5" s="6" t="n">
        <f aca="false">E39</f>
        <v>1988232.59875</v>
      </c>
      <c r="F5" s="7" t="n">
        <f aca="false">G11</f>
        <v>0.4</v>
      </c>
      <c r="G5" s="6" t="n">
        <f aca="false">F35</f>
        <v>674999.15</v>
      </c>
      <c r="H5" s="8" t="n">
        <f aca="false">E37/D12</f>
        <v>600.511220136519</v>
      </c>
    </row>
    <row r="6" customFormat="false" ht="15.75" hidden="false" customHeight="true" outlineLevel="0" collapsed="false"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</row>
    <row r="8" customFormat="false" ht="19.5" hidden="false" customHeight="true" outlineLevel="0" collapsed="false">
      <c r="C8" s="10" t="s">
        <v>14</v>
      </c>
      <c r="D8" s="10"/>
      <c r="F8" s="10" t="s">
        <v>15</v>
      </c>
      <c r="G8" s="10"/>
    </row>
    <row r="9" customFormat="false" ht="15" hidden="false" customHeight="false" outlineLevel="0" collapsed="false">
      <c r="C9" s="11" t="s">
        <v>16</v>
      </c>
      <c r="D9" s="12" t="n">
        <v>1460</v>
      </c>
      <c r="F9" s="11" t="s">
        <v>17</v>
      </c>
      <c r="G9" s="13" t="n">
        <v>0.13</v>
      </c>
    </row>
    <row r="10" customFormat="false" ht="15" hidden="false" customHeight="false" outlineLevel="0" collapsed="false">
      <c r="C10" s="11" t="s">
        <v>18</v>
      </c>
      <c r="D10" s="12" t="n">
        <v>1470</v>
      </c>
      <c r="F10" s="11" t="s">
        <v>19</v>
      </c>
      <c r="G10" s="13" t="n">
        <v>0.05</v>
      </c>
    </row>
    <row r="11" customFormat="false" ht="15" hidden="false" customHeight="false" outlineLevel="0" collapsed="false">
      <c r="F11" s="14" t="s">
        <v>20</v>
      </c>
      <c r="G11" s="15" t="n">
        <v>0.4</v>
      </c>
    </row>
    <row r="12" customFormat="false" ht="15" hidden="false" customHeight="false" outlineLevel="0" collapsed="false">
      <c r="C12" s="16" t="s">
        <v>21</v>
      </c>
      <c r="D12" s="17" t="n">
        <f aca="false">D9+D10</f>
        <v>2930</v>
      </c>
      <c r="F12" s="18" t="s">
        <v>22</v>
      </c>
      <c r="G12" s="19" t="n">
        <f aca="false">G11/(1-G11)</f>
        <v>0.666666666666667</v>
      </c>
    </row>
    <row r="13" customFormat="false" ht="15" hidden="false" customHeight="false" outlineLevel="0" collapsed="false">
      <c r="C13" s="11" t="s">
        <v>23</v>
      </c>
      <c r="D13" s="12" t="n">
        <v>1460</v>
      </c>
      <c r="F13" s="20" t="s">
        <v>24</v>
      </c>
    </row>
    <row r="14" customFormat="false" ht="15" hidden="false" customHeight="false" outlineLevel="0" collapsed="false">
      <c r="C14" s="11" t="s">
        <v>25</v>
      </c>
      <c r="D14" s="12" t="n">
        <v>548</v>
      </c>
    </row>
    <row r="16" customFormat="false" ht="19.5" hidden="false" customHeight="true" outlineLevel="0" collapsed="false">
      <c r="B16" s="10" t="s">
        <v>26</v>
      </c>
      <c r="C16" s="10"/>
      <c r="D16" s="10"/>
      <c r="E16" s="10"/>
      <c r="F16" s="10"/>
      <c r="G16" s="10"/>
      <c r="H16" s="10"/>
    </row>
    <row r="17" customFormat="false" ht="30" hidden="false" customHeight="true" outlineLevel="0" collapsed="false">
      <c r="B17" s="21" t="s">
        <v>27</v>
      </c>
      <c r="C17" s="21" t="s">
        <v>28</v>
      </c>
      <c r="D17" s="21" t="s">
        <v>29</v>
      </c>
      <c r="E17" s="21" t="s">
        <v>30</v>
      </c>
      <c r="F17" s="21" t="s">
        <v>31</v>
      </c>
      <c r="G17" s="21" t="s">
        <v>32</v>
      </c>
      <c r="H17" s="21" t="s">
        <v>33</v>
      </c>
    </row>
    <row r="18" customFormat="false" ht="15" hidden="false" customHeight="false" outlineLevel="0" collapsed="false">
      <c r="B18" s="22" t="n">
        <v>1</v>
      </c>
      <c r="C18" s="23" t="s">
        <v>34</v>
      </c>
      <c r="D18" s="24" t="n">
        <f aca="false">'Division Detail'!$H$15</f>
        <v>43800</v>
      </c>
      <c r="E18" s="25" t="n">
        <f aca="false">D18/(1-$G$11)</f>
        <v>73000</v>
      </c>
      <c r="F18" s="25" t="n">
        <f aca="false">E18-D18</f>
        <v>29200</v>
      </c>
      <c r="G18" s="25" t="n">
        <f aca="false">E18/$D$12</f>
        <v>24.9146757679181</v>
      </c>
      <c r="H18" s="26" t="n">
        <f aca="false">E18/$E$37</f>
        <v>0.0414891094994929</v>
      </c>
    </row>
    <row r="19" customFormat="false" ht="15" hidden="false" customHeight="false" outlineLevel="0" collapsed="false">
      <c r="B19" s="27" t="n">
        <v>2</v>
      </c>
      <c r="C19" s="28" t="s">
        <v>35</v>
      </c>
      <c r="D19" s="29" t="n">
        <f aca="false">'Division Detail'!$H$34</f>
        <v>134750</v>
      </c>
      <c r="E19" s="30" t="n">
        <f aca="false">D19/(1-$G$11)</f>
        <v>224583.333333333</v>
      </c>
      <c r="F19" s="30" t="n">
        <f aca="false">E19-D19</f>
        <v>89833.3333333333</v>
      </c>
      <c r="G19" s="30" t="n">
        <f aca="false">E19/$D$12</f>
        <v>76.6496018202503</v>
      </c>
      <c r="H19" s="31" t="n">
        <f aca="false">E19/$E$37</f>
        <v>0.12764058230723</v>
      </c>
    </row>
    <row r="20" customFormat="false" ht="15" hidden="false" customHeight="false" outlineLevel="0" collapsed="false">
      <c r="B20" s="22" t="n">
        <v>3</v>
      </c>
      <c r="C20" s="23" t="s">
        <v>36</v>
      </c>
      <c r="D20" s="24" t="n">
        <f aca="false">'Division Detail'!$H$40</f>
        <v>35600</v>
      </c>
      <c r="E20" s="25" t="n">
        <f aca="false">D20/(1-$G$11)</f>
        <v>59333.3333333333</v>
      </c>
      <c r="F20" s="25" t="n">
        <f aca="false">E20-D20</f>
        <v>23733.3333333333</v>
      </c>
      <c r="G20" s="25" t="n">
        <f aca="false">E20/$D$12</f>
        <v>20.2502844141069</v>
      </c>
      <c r="H20" s="26" t="n">
        <f aca="false">E20/$E$37</f>
        <v>0.0337217419676243</v>
      </c>
    </row>
    <row r="21" customFormat="false" ht="15" hidden="false" customHeight="false" outlineLevel="0" collapsed="false">
      <c r="B21" s="27" t="n">
        <v>4</v>
      </c>
      <c r="C21" s="28" t="s">
        <v>37</v>
      </c>
      <c r="D21" s="29" t="n">
        <f aca="false">'Division Detail'!$H$47</f>
        <v>35270</v>
      </c>
      <c r="E21" s="30" t="n">
        <f aca="false">D21/(1-$G$11)</f>
        <v>58783.3333333333</v>
      </c>
      <c r="F21" s="30" t="n">
        <f aca="false">E21-D21</f>
        <v>23513.3333333333</v>
      </c>
      <c r="G21" s="30" t="n">
        <f aca="false">E21/$D$12</f>
        <v>20.0625711035267</v>
      </c>
      <c r="H21" s="31" t="n">
        <f aca="false">E21/$E$37</f>
        <v>0.0334091527864638</v>
      </c>
    </row>
    <row r="22" customFormat="false" ht="15" hidden="false" customHeight="false" outlineLevel="0" collapsed="false">
      <c r="B22" s="22" t="n">
        <v>5</v>
      </c>
      <c r="C22" s="23" t="s">
        <v>38</v>
      </c>
      <c r="D22" s="24" t="n">
        <f aca="false">'Division Detail'!$H$57</f>
        <v>93988</v>
      </c>
      <c r="E22" s="25" t="n">
        <f aca="false">D22/(1-$G$11)</f>
        <v>156646.666666667</v>
      </c>
      <c r="F22" s="25" t="n">
        <f aca="false">E22-D22</f>
        <v>62658.6666666667</v>
      </c>
      <c r="G22" s="25" t="n">
        <f aca="false">E22/$D$12</f>
        <v>53.4630261660979</v>
      </c>
      <c r="H22" s="26" t="n">
        <f aca="false">E22/$E$37</f>
        <v>0.0890291877542999</v>
      </c>
    </row>
    <row r="23" customFormat="false" ht="15" hidden="false" customHeight="false" outlineLevel="0" collapsed="false">
      <c r="B23" s="27" t="n">
        <v>6</v>
      </c>
      <c r="C23" s="28" t="s">
        <v>39</v>
      </c>
      <c r="D23" s="29" t="n">
        <f aca="false">'Division Detail'!$H$63</f>
        <v>29904</v>
      </c>
      <c r="E23" s="30" t="n">
        <f aca="false">D23/(1-$G$11)</f>
        <v>49840</v>
      </c>
      <c r="F23" s="30" t="n">
        <f aca="false">E23-D23</f>
        <v>19936</v>
      </c>
      <c r="G23" s="30" t="n">
        <f aca="false">E23/$D$12</f>
        <v>17.0102389078498</v>
      </c>
      <c r="H23" s="31" t="n">
        <f aca="false">E23/$E$37</f>
        <v>0.0283262632528044</v>
      </c>
    </row>
    <row r="24" customFormat="false" ht="15" hidden="false" customHeight="false" outlineLevel="0" collapsed="false">
      <c r="B24" s="22" t="n">
        <v>7</v>
      </c>
      <c r="C24" s="23" t="s">
        <v>40</v>
      </c>
      <c r="D24" s="24" t="n">
        <f aca="false">'Division Detail'!$H$71</f>
        <v>181384</v>
      </c>
      <c r="E24" s="25" t="n">
        <f aca="false">D24/(1-$G$11)</f>
        <v>302306.666666667</v>
      </c>
      <c r="F24" s="25" t="n">
        <f aca="false">E24-D24</f>
        <v>120922.666666667</v>
      </c>
      <c r="G24" s="25" t="n">
        <f aca="false">E24/$D$12</f>
        <v>103.176336746303</v>
      </c>
      <c r="H24" s="26" t="n">
        <f aca="false">E24/$E$37</f>
        <v>0.171814169804932</v>
      </c>
    </row>
    <row r="25" customFormat="false" ht="15" hidden="false" customHeight="false" outlineLevel="0" collapsed="false">
      <c r="B25" s="27" t="n">
        <v>8</v>
      </c>
      <c r="C25" s="28" t="s">
        <v>41</v>
      </c>
      <c r="D25" s="29" t="n">
        <f aca="false">'Division Detail'!$H$80</f>
        <v>43745</v>
      </c>
      <c r="E25" s="30" t="n">
        <f aca="false">D25/(1-$G$11)</f>
        <v>72908.3333333333</v>
      </c>
      <c r="F25" s="30" t="n">
        <f aca="false">E25-D25</f>
        <v>29163.3333333333</v>
      </c>
      <c r="G25" s="30" t="n">
        <f aca="false">E25/$D$12</f>
        <v>24.8833902161547</v>
      </c>
      <c r="H25" s="31" t="n">
        <f aca="false">E25/$E$37</f>
        <v>0.0414370113026328</v>
      </c>
    </row>
    <row r="26" customFormat="false" ht="15" hidden="false" customHeight="false" outlineLevel="0" collapsed="false">
      <c r="B26" s="22" t="n">
        <v>9</v>
      </c>
      <c r="C26" s="23" t="s">
        <v>42</v>
      </c>
      <c r="D26" s="24" t="n">
        <f aca="false">'Division Detail'!$H$89</f>
        <v>32984</v>
      </c>
      <c r="E26" s="25" t="n">
        <f aca="false">D26/(1-$G$11)</f>
        <v>54973.3333333333</v>
      </c>
      <c r="F26" s="25" t="n">
        <f aca="false">E26-D26</f>
        <v>21989.3333333333</v>
      </c>
      <c r="G26" s="25" t="n">
        <f aca="false">E26/$D$12</f>
        <v>18.7622298065984</v>
      </c>
      <c r="H26" s="26" t="n">
        <f aca="false">E26/$E$37</f>
        <v>0.0312437622769697</v>
      </c>
    </row>
    <row r="27" customFormat="false" ht="15" hidden="false" customHeight="false" outlineLevel="0" collapsed="false">
      <c r="B27" s="27" t="n">
        <v>10</v>
      </c>
      <c r="C27" s="28" t="s">
        <v>43</v>
      </c>
      <c r="D27" s="29" t="n">
        <f aca="false">'Division Detail'!$H$96</f>
        <v>162940</v>
      </c>
      <c r="E27" s="30" t="n">
        <f aca="false">D27/(1-$G$11)</f>
        <v>271566.666666667</v>
      </c>
      <c r="F27" s="30" t="n">
        <f aca="false">E27-D27</f>
        <v>108626.666666667</v>
      </c>
      <c r="G27" s="30" t="n">
        <f aca="false">E27/$D$12</f>
        <v>92.6848691695108</v>
      </c>
      <c r="H27" s="31" t="n">
        <f aca="false">E27/$E$37</f>
        <v>0.154343276297885</v>
      </c>
    </row>
    <row r="28" customFormat="false" ht="15" hidden="false" customHeight="false" outlineLevel="0" collapsed="false">
      <c r="B28" s="22" t="n">
        <v>11</v>
      </c>
      <c r="C28" s="23" t="s">
        <v>44</v>
      </c>
      <c r="D28" s="24" t="n">
        <f aca="false">'Division Detail'!$H$101</f>
        <v>26500</v>
      </c>
      <c r="E28" s="25" t="n">
        <f aca="false">D28/(1-$G$11)</f>
        <v>44166.6666666667</v>
      </c>
      <c r="F28" s="25" t="n">
        <f aca="false">E28-D28</f>
        <v>17666.6666666667</v>
      </c>
      <c r="G28" s="25" t="n">
        <f aca="false">E28/$D$12</f>
        <v>15.0739476678043</v>
      </c>
      <c r="H28" s="26" t="n">
        <f aca="false">E28/$E$37</f>
        <v>0.0251018584871361</v>
      </c>
    </row>
    <row r="29" customFormat="false" ht="15" hidden="false" customHeight="false" outlineLevel="0" collapsed="false">
      <c r="B29" s="27" t="n">
        <v>12</v>
      </c>
      <c r="C29" s="28" t="s">
        <v>45</v>
      </c>
      <c r="D29" s="29" t="n">
        <f aca="false">'Division Detail'!$H$106</f>
        <v>28500</v>
      </c>
      <c r="E29" s="30" t="n">
        <f aca="false">D29/(1-$G$11)</f>
        <v>47500</v>
      </c>
      <c r="F29" s="30" t="n">
        <f aca="false">E29-D29</f>
        <v>19000</v>
      </c>
      <c r="G29" s="30" t="n">
        <f aca="false">E29/$D$12</f>
        <v>16.2116040955631</v>
      </c>
      <c r="H29" s="31" t="n">
        <f aca="false">E29/$E$37</f>
        <v>0.0269963383729577</v>
      </c>
    </row>
    <row r="30" customFormat="false" ht="15" hidden="false" customHeight="false" outlineLevel="0" collapsed="false">
      <c r="B30" s="22" t="n">
        <v>13</v>
      </c>
      <c r="C30" s="23" t="s">
        <v>46</v>
      </c>
      <c r="D30" s="24" t="n">
        <f aca="false">'Division Detail'!$H$113</f>
        <v>33350</v>
      </c>
      <c r="E30" s="25" t="n">
        <f aca="false">D30/(1-$G$11)</f>
        <v>55583.3333333333</v>
      </c>
      <c r="F30" s="25" t="n">
        <f aca="false">E30-D30</f>
        <v>22233.3333333333</v>
      </c>
      <c r="G30" s="25" t="n">
        <f aca="false">E30/$D$12</f>
        <v>18.9704209328783</v>
      </c>
      <c r="H30" s="26" t="n">
        <f aca="false">E30/$E$37</f>
        <v>0.031590452096075</v>
      </c>
    </row>
    <row r="31" customFormat="false" ht="15" hidden="false" customHeight="false" outlineLevel="0" collapsed="false">
      <c r="B31" s="27" t="n">
        <v>14</v>
      </c>
      <c r="C31" s="28" t="s">
        <v>47</v>
      </c>
      <c r="D31" s="29" t="n">
        <f aca="false">'Division Detail'!$H$120</f>
        <v>22127.5</v>
      </c>
      <c r="E31" s="30" t="n">
        <f aca="false">D31/(1-$G$11)</f>
        <v>36879.1666666667</v>
      </c>
      <c r="F31" s="30" t="n">
        <f aca="false">E31-D31</f>
        <v>14751.6666666667</v>
      </c>
      <c r="G31" s="30" t="n">
        <f aca="false">E31/$D$12</f>
        <v>12.5867463026166</v>
      </c>
      <c r="H31" s="31" t="n">
        <f aca="false">E31/$E$37</f>
        <v>0.0209600518367586</v>
      </c>
    </row>
    <row r="32" customFormat="false" ht="15" hidden="false" customHeight="false" outlineLevel="0" collapsed="false">
      <c r="B32" s="22" t="n">
        <v>15</v>
      </c>
      <c r="C32" s="23" t="s">
        <v>48</v>
      </c>
      <c r="D32" s="24" t="n">
        <f aca="false">'Division Detail'!$H$124</f>
        <v>48692</v>
      </c>
      <c r="E32" s="25" t="n">
        <f aca="false">D32/(1-$G$11)</f>
        <v>81153.3333333333</v>
      </c>
      <c r="F32" s="25" t="n">
        <f aca="false">E32-D32</f>
        <v>32461.3333333333</v>
      </c>
      <c r="G32" s="25" t="n">
        <f aca="false">E32/$D$12</f>
        <v>27.6973833902162</v>
      </c>
      <c r="H32" s="26" t="n">
        <f aca="false">E32/$E$37</f>
        <v>0.0461230073002125</v>
      </c>
    </row>
    <row r="33" customFormat="false" ht="15" hidden="false" customHeight="false" outlineLevel="0" collapsed="false">
      <c r="B33" s="27" t="n">
        <v>16</v>
      </c>
      <c r="C33" s="28" t="s">
        <v>49</v>
      </c>
      <c r="D33" s="29" t="n">
        <f aca="false">'Division Detail'!$H$131</f>
        <v>10750</v>
      </c>
      <c r="E33" s="30" t="n">
        <f aca="false">D33/(1-$G$11)</f>
        <v>17916.6666666667</v>
      </c>
      <c r="F33" s="30" t="n">
        <f aca="false">E33-D33</f>
        <v>7166.66666666667</v>
      </c>
      <c r="G33" s="30" t="n">
        <f aca="false">E33/$D$12</f>
        <v>6.11490329920364</v>
      </c>
      <c r="H33" s="31" t="n">
        <f aca="false">E33/$E$37</f>
        <v>0.0101828293862911</v>
      </c>
    </row>
    <row r="34" customFormat="false" ht="15" hidden="false" customHeight="false" outlineLevel="0" collapsed="false">
      <c r="B34" s="22" t="n">
        <v>17</v>
      </c>
      <c r="C34" s="23" t="s">
        <v>50</v>
      </c>
      <c r="D34" s="25" t="n">
        <f aca="false">SUM(D18:D33)*G10</f>
        <v>48214.225</v>
      </c>
      <c r="E34" s="25" t="n">
        <f aca="false">D34/(1-$G$11)</f>
        <v>80357.0416666667</v>
      </c>
      <c r="F34" s="25" t="n">
        <f aca="false">E34-D34</f>
        <v>32142.8166666667</v>
      </c>
      <c r="G34" s="25" t="n">
        <f aca="false">E34/$D$12</f>
        <v>27.4256114903299</v>
      </c>
      <c r="H34" s="26" t="n">
        <f aca="false">E34/$E$37</f>
        <v>0.0456704397364883</v>
      </c>
    </row>
    <row r="35" customFormat="false" ht="15" hidden="false" customHeight="false" outlineLevel="0" collapsed="false">
      <c r="B35" s="32"/>
      <c r="C35" s="32" t="s">
        <v>51</v>
      </c>
      <c r="D35" s="33" t="n">
        <f aca="false">SUM(D18:D34)</f>
        <v>1012498.725</v>
      </c>
      <c r="E35" s="33" t="n">
        <f aca="false">SUM(E18:E34)</f>
        <v>1687497.875</v>
      </c>
      <c r="F35" s="33" t="n">
        <f aca="false">E35-D35</f>
        <v>674999.15</v>
      </c>
      <c r="G35" s="33" t="n">
        <f aca="false">E35/$D$12</f>
        <v>575.937841296928</v>
      </c>
      <c r="H35" s="34" t="n">
        <f aca="false">E35/$E$37</f>
        <v>0.959079234466254</v>
      </c>
    </row>
    <row r="36" customFormat="false" ht="27.75" hidden="false" customHeight="true" outlineLevel="0" collapsed="false">
      <c r="B36" s="11"/>
      <c r="C36" s="35" t="s">
        <v>52</v>
      </c>
      <c r="D36" s="36" t="n">
        <f aca="false">'Division Detail'!$H$138</f>
        <v>72000</v>
      </c>
      <c r="E36" s="37" t="n">
        <f aca="false">D36</f>
        <v>72000</v>
      </c>
      <c r="F36" s="37" t="n">
        <f aca="false">E36-D36</f>
        <v>0</v>
      </c>
      <c r="G36" s="37" t="n">
        <f aca="false">E36/$D$12</f>
        <v>24.5733788395904</v>
      </c>
      <c r="H36" s="38" t="n">
        <f aca="false">E36/$E$37</f>
        <v>0.0409207655337464</v>
      </c>
    </row>
    <row r="37" customFormat="false" ht="24" hidden="false" customHeight="true" outlineLevel="0" collapsed="false">
      <c r="B37" s="39"/>
      <c r="C37" s="39" t="s">
        <v>53</v>
      </c>
      <c r="D37" s="40" t="n">
        <f aca="false">D35+D36</f>
        <v>1084498.725</v>
      </c>
      <c r="E37" s="40" t="n">
        <f aca="false">E35+E36</f>
        <v>1759497.875</v>
      </c>
      <c r="F37" s="40" t="n">
        <f aca="false">E37-D37</f>
        <v>674999.15</v>
      </c>
      <c r="G37" s="40" t="n">
        <f aca="false">E37/$D$12</f>
        <v>600.511220136519</v>
      </c>
      <c r="H37" s="41" t="n">
        <f aca="false">E37/$E$37</f>
        <v>1</v>
      </c>
    </row>
    <row r="38" customFormat="false" ht="15" hidden="false" customHeight="false" outlineLevel="0" collapsed="false">
      <c r="C38" s="11" t="s">
        <v>54</v>
      </c>
      <c r="E38" s="37" t="n">
        <f aca="false">E37*G9</f>
        <v>228734.72375</v>
      </c>
    </row>
    <row r="39" customFormat="false" ht="15" hidden="false" customHeight="false" outlineLevel="0" collapsed="false">
      <c r="B39" s="42"/>
      <c r="C39" s="43" t="s">
        <v>55</v>
      </c>
      <c r="D39" s="42"/>
      <c r="E39" s="44" t="n">
        <f aca="false">E37+E38</f>
        <v>1988232.59875</v>
      </c>
      <c r="F39" s="42"/>
      <c r="G39" s="42"/>
      <c r="H39" s="42"/>
    </row>
    <row r="41" customFormat="false" ht="19.5" hidden="false" customHeight="true" outlineLevel="0" collapsed="false">
      <c r="B41" s="10" t="s">
        <v>56</v>
      </c>
      <c r="C41" s="10"/>
      <c r="D41" s="10"/>
      <c r="E41" s="10"/>
      <c r="F41" s="10"/>
      <c r="G41" s="10"/>
      <c r="H41" s="10"/>
    </row>
    <row r="42" customFormat="false" ht="15" hidden="false" customHeight="false" outlineLevel="0" collapsed="false">
      <c r="C42" s="23" t="s">
        <v>57</v>
      </c>
      <c r="D42" s="45" t="n">
        <f aca="false">D35</f>
        <v>1012498.725</v>
      </c>
      <c r="F42" s="46" t="s">
        <v>58</v>
      </c>
      <c r="G42" s="46"/>
      <c r="H42" s="46"/>
    </row>
    <row r="43" customFormat="false" ht="15" hidden="false" customHeight="false" outlineLevel="0" collapsed="false">
      <c r="C43" s="23" t="s">
        <v>59</v>
      </c>
      <c r="D43" s="45" t="n">
        <f aca="false">E35</f>
        <v>1687497.875</v>
      </c>
      <c r="F43" s="46" t="s">
        <v>60</v>
      </c>
      <c r="G43" s="46"/>
      <c r="H43" s="46"/>
    </row>
    <row r="44" customFormat="false" ht="15" hidden="false" customHeight="false" outlineLevel="0" collapsed="false">
      <c r="C44" s="23" t="s">
        <v>61</v>
      </c>
      <c r="D44" s="45" t="n">
        <f aca="false">E35-D35</f>
        <v>674999.15</v>
      </c>
      <c r="F44" s="46" t="s">
        <v>62</v>
      </c>
      <c r="G44" s="46"/>
      <c r="H44" s="46"/>
    </row>
    <row r="45" customFormat="false" ht="15" hidden="false" customHeight="false" outlineLevel="0" collapsed="false">
      <c r="C45" s="47" t="s">
        <v>63</v>
      </c>
      <c r="D45" s="48" t="n">
        <f aca="false">D44/D43</f>
        <v>0.4</v>
      </c>
      <c r="F45" s="46" t="s">
        <v>64</v>
      </c>
      <c r="G45" s="46"/>
      <c r="H45" s="46"/>
    </row>
    <row r="46" customFormat="false" ht="15" hidden="false" customHeight="false" outlineLevel="0" collapsed="false">
      <c r="C46" s="23" t="s">
        <v>65</v>
      </c>
      <c r="D46" s="49" t="n">
        <f aca="false">D44/D42</f>
        <v>0.666666666666667</v>
      </c>
    </row>
    <row r="48" customFormat="false" ht="19.5" hidden="false" customHeight="true" outlineLevel="0" collapsed="false">
      <c r="B48" s="10" t="s">
        <v>66</v>
      </c>
      <c r="C48" s="10"/>
      <c r="D48" s="10"/>
      <c r="F48" s="10" t="s">
        <v>67</v>
      </c>
      <c r="G48" s="10"/>
      <c r="H48" s="10"/>
    </row>
    <row r="49" customFormat="false" ht="15" hidden="false" customHeight="false" outlineLevel="0" collapsed="false">
      <c r="B49" s="50" t="s">
        <v>68</v>
      </c>
      <c r="C49" s="50"/>
      <c r="D49" s="50"/>
      <c r="F49" s="51" t="s">
        <v>69</v>
      </c>
      <c r="G49" s="51"/>
      <c r="H49" s="51"/>
    </row>
    <row r="50" customFormat="false" ht="15" hidden="false" customHeight="false" outlineLevel="0" collapsed="false">
      <c r="B50" s="50" t="s">
        <v>70</v>
      </c>
      <c r="C50" s="50"/>
      <c r="D50" s="50"/>
      <c r="F50" s="51" t="s">
        <v>71</v>
      </c>
      <c r="G50" s="51"/>
      <c r="H50" s="51"/>
    </row>
    <row r="51" customFormat="false" ht="15" hidden="false" customHeight="false" outlineLevel="0" collapsed="false">
      <c r="B51" s="50" t="s">
        <v>72</v>
      </c>
      <c r="C51" s="50"/>
      <c r="D51" s="50"/>
      <c r="F51" s="51" t="s">
        <v>73</v>
      </c>
      <c r="G51" s="51"/>
      <c r="H51" s="51"/>
    </row>
    <row r="52" customFormat="false" ht="15" hidden="false" customHeight="false" outlineLevel="0" collapsed="false">
      <c r="B52" s="50" t="s">
        <v>74</v>
      </c>
      <c r="C52" s="50"/>
      <c r="D52" s="50"/>
      <c r="F52" s="51" t="s">
        <v>75</v>
      </c>
      <c r="G52" s="51"/>
      <c r="H52" s="51"/>
    </row>
    <row r="53" customFormat="false" ht="15" hidden="false" customHeight="false" outlineLevel="0" collapsed="false">
      <c r="B53" s="50" t="s">
        <v>76</v>
      </c>
      <c r="C53" s="50"/>
      <c r="D53" s="50"/>
      <c r="F53" s="51" t="s">
        <v>77</v>
      </c>
      <c r="G53" s="51"/>
      <c r="H53" s="51"/>
    </row>
    <row r="54" customFormat="false" ht="15" hidden="false" customHeight="false" outlineLevel="0" collapsed="false">
      <c r="B54" s="50" t="s">
        <v>78</v>
      </c>
      <c r="C54" s="50"/>
      <c r="D54" s="50"/>
      <c r="F54" s="51" t="s">
        <v>79</v>
      </c>
      <c r="G54" s="51"/>
      <c r="H54" s="51"/>
    </row>
    <row r="55" customFormat="false" ht="15" hidden="false" customHeight="false" outlineLevel="0" collapsed="false">
      <c r="B55" s="50" t="s">
        <v>80</v>
      </c>
      <c r="C55" s="50"/>
      <c r="D55" s="50"/>
      <c r="F55" s="51" t="s">
        <v>81</v>
      </c>
      <c r="G55" s="51"/>
      <c r="H55" s="51"/>
    </row>
    <row r="56" customFormat="false" ht="15" hidden="false" customHeight="false" outlineLevel="0" collapsed="false">
      <c r="B56" s="50" t="s">
        <v>82</v>
      </c>
      <c r="C56" s="50"/>
      <c r="D56" s="50"/>
      <c r="F56" s="51" t="s">
        <v>83</v>
      </c>
      <c r="G56" s="51"/>
      <c r="H56" s="51"/>
    </row>
    <row r="58" customFormat="false" ht="15" hidden="false" customHeight="false" outlineLevel="0" collapsed="false">
      <c r="B58" s="52" t="s">
        <v>84</v>
      </c>
      <c r="C58" s="52"/>
      <c r="D58" s="52"/>
      <c r="E58" s="52"/>
      <c r="F58" s="52"/>
      <c r="G58" s="52"/>
      <c r="H58" s="52"/>
    </row>
  </sheetData>
  <mergeCells count="29">
    <mergeCell ref="B1:H1"/>
    <mergeCell ref="B2:H2"/>
    <mergeCell ref="C8:D8"/>
    <mergeCell ref="F8:G8"/>
    <mergeCell ref="B16:H16"/>
    <mergeCell ref="B41:H41"/>
    <mergeCell ref="F42:H42"/>
    <mergeCell ref="F43:H43"/>
    <mergeCell ref="F44:H44"/>
    <mergeCell ref="F45:H45"/>
    <mergeCell ref="B48:D48"/>
    <mergeCell ref="F48:H48"/>
    <mergeCell ref="B49:D49"/>
    <mergeCell ref="F49:H49"/>
    <mergeCell ref="B50:D50"/>
    <mergeCell ref="F50:H50"/>
    <mergeCell ref="B51:D51"/>
    <mergeCell ref="F51:H51"/>
    <mergeCell ref="B52:D52"/>
    <mergeCell ref="F52:H52"/>
    <mergeCell ref="B53:D53"/>
    <mergeCell ref="F53:H53"/>
    <mergeCell ref="B54:D54"/>
    <mergeCell ref="F54:H54"/>
    <mergeCell ref="B55:D55"/>
    <mergeCell ref="F55:H55"/>
    <mergeCell ref="B56:D56"/>
    <mergeCell ref="F56:H56"/>
    <mergeCell ref="B58:H58"/>
  </mergeCells>
  <conditionalFormatting sqref="H18:H34">
    <cfRule type="dataBar" priority="2">
      <dataBar showValue="1" minLength="10" maxLength="90">
        <cfvo type="num" val="0"/>
        <cfvo type="max" val="0"/>
        <color rgb="FF5FA883"/>
      </dataBar>
      <extLst>
        <ext xmlns:x14="http://schemas.microsoft.com/office/spreadsheetml/2009/9/main" uri="{B025F937-C7B1-47D3-B67F-A62EFF666E3E}">
          <x14:id>{1A871B49-AEA8-4722-A67B-6F6FAE8CA545}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871B49-AEA8-4722-A67B-6F6FAE8CA545}">
            <x14:dataBar minLength="10" maxLength="90" axisPosition="none" gradient="true">
              <x14:cfvo type="num">
                <xm:f>0</xm:f>
              </x14:cfvo>
              <x14:cfvo type="max"/>
              <x14:negativeFillColor rgb="FF5FA883"/>
              <x14:axisColor rgb="FF000000"/>
            </x14:dataBar>
          </x14:cfRule>
          <xm:sqref>H18:H34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33.75" hidden="false" customHeight="true" outlineLevel="0" collapsed="false">
      <c r="A1" s="1"/>
      <c r="B1" s="2" t="s">
        <v>85</v>
      </c>
      <c r="C1" s="2"/>
      <c r="D1" s="2"/>
      <c r="E1" s="2"/>
      <c r="F1" s="2"/>
      <c r="G1" s="2"/>
      <c r="H1" s="2"/>
      <c r="I1" s="2"/>
      <c r="J1" s="1"/>
    </row>
    <row r="2" customFormat="false" ht="19.5" hidden="false" customHeight="true" outlineLevel="0" collapsed="false">
      <c r="A2" s="1"/>
      <c r="B2" s="3" t="s">
        <v>86</v>
      </c>
      <c r="C2" s="3"/>
      <c r="D2" s="3"/>
      <c r="E2" s="3"/>
      <c r="F2" s="3"/>
      <c r="G2" s="3"/>
      <c r="H2" s="3"/>
      <c r="I2" s="3"/>
      <c r="J2" s="1"/>
    </row>
    <row r="4" customFormat="false" ht="30" hidden="false" customHeight="true" outlineLevel="0" collapsed="false">
      <c r="B4" s="21" t="s">
        <v>87</v>
      </c>
      <c r="C4" s="21" t="s">
        <v>88</v>
      </c>
      <c r="D4" s="21" t="s">
        <v>89</v>
      </c>
      <c r="E4" s="21" t="s">
        <v>90</v>
      </c>
      <c r="F4" s="21" t="s">
        <v>91</v>
      </c>
      <c r="G4" s="21" t="s">
        <v>92</v>
      </c>
      <c r="H4" s="21" t="s">
        <v>29</v>
      </c>
      <c r="I4" s="21" t="s">
        <v>30</v>
      </c>
    </row>
    <row r="5" customFormat="false" ht="15" hidden="false" customHeight="false" outlineLevel="0" collapsed="false">
      <c r="B5" s="53" t="s">
        <v>93</v>
      </c>
      <c r="C5" s="53"/>
      <c r="D5" s="53"/>
      <c r="E5" s="53"/>
      <c r="F5" s="53"/>
      <c r="G5" s="53"/>
      <c r="H5" s="53"/>
      <c r="I5" s="53"/>
    </row>
    <row r="6" customFormat="false" ht="22.35" hidden="false" customHeight="false" outlineLevel="0" collapsed="false">
      <c r="B6" s="54" t="s">
        <v>94</v>
      </c>
      <c r="C6" s="55" t="s">
        <v>95</v>
      </c>
      <c r="D6" s="56" t="s">
        <v>96</v>
      </c>
      <c r="E6" s="57" t="n">
        <v>1</v>
      </c>
      <c r="F6" s="56" t="s">
        <v>97</v>
      </c>
      <c r="G6" s="58" t="n">
        <v>15000</v>
      </c>
      <c r="H6" s="59" t="n">
        <f aca="false">E6*G6</f>
        <v>15000</v>
      </c>
      <c r="I6" s="59" t="n">
        <f aca="false">H6/(1-Summary!$G$11)</f>
        <v>25000</v>
      </c>
    </row>
    <row r="7" customFormat="false" ht="22.35" hidden="false" customHeight="false" outlineLevel="0" collapsed="false">
      <c r="B7" s="54" t="s">
        <v>98</v>
      </c>
      <c r="C7" s="55" t="s">
        <v>99</v>
      </c>
      <c r="D7" s="56" t="s">
        <v>100</v>
      </c>
      <c r="E7" s="57" t="n">
        <v>1</v>
      </c>
      <c r="F7" s="56" t="s">
        <v>97</v>
      </c>
      <c r="G7" s="58" t="n">
        <v>3000</v>
      </c>
      <c r="H7" s="59" t="n">
        <f aca="false">E7*G7</f>
        <v>3000</v>
      </c>
      <c r="I7" s="59" t="n">
        <f aca="false">H7/(1-Summary!$G$11)</f>
        <v>5000</v>
      </c>
    </row>
    <row r="8" customFormat="false" ht="23.85" hidden="false" customHeight="false" outlineLevel="0" collapsed="false">
      <c r="B8" s="54" t="s">
        <v>101</v>
      </c>
      <c r="C8" s="55" t="s">
        <v>102</v>
      </c>
      <c r="D8" s="56" t="s">
        <v>103</v>
      </c>
      <c r="E8" s="57" t="n">
        <v>1</v>
      </c>
      <c r="F8" s="56" t="s">
        <v>97</v>
      </c>
      <c r="G8" s="58" t="n">
        <v>7000</v>
      </c>
      <c r="H8" s="59" t="n">
        <f aca="false">E8*G8</f>
        <v>7000</v>
      </c>
      <c r="I8" s="59" t="n">
        <f aca="false">H8/(1-Summary!$G$11)</f>
        <v>11666.6666666667</v>
      </c>
    </row>
    <row r="9" customFormat="false" ht="15" hidden="false" customHeight="false" outlineLevel="0" collapsed="false">
      <c r="B9" s="54" t="s">
        <v>104</v>
      </c>
      <c r="C9" s="55" t="s">
        <v>105</v>
      </c>
      <c r="D9" s="56" t="s">
        <v>106</v>
      </c>
      <c r="E9" s="57" t="n">
        <v>1</v>
      </c>
      <c r="F9" s="56" t="s">
        <v>97</v>
      </c>
      <c r="G9" s="58" t="n">
        <v>1500</v>
      </c>
      <c r="H9" s="59" t="n">
        <f aca="false">E9*G9</f>
        <v>1500</v>
      </c>
      <c r="I9" s="59" t="n">
        <f aca="false">H9/(1-Summary!$G$11)</f>
        <v>2500</v>
      </c>
    </row>
    <row r="10" customFormat="false" ht="23.85" hidden="false" customHeight="false" outlineLevel="0" collapsed="false">
      <c r="B10" s="54" t="s">
        <v>107</v>
      </c>
      <c r="C10" s="55" t="s">
        <v>108</v>
      </c>
      <c r="D10" s="56" t="s">
        <v>109</v>
      </c>
      <c r="E10" s="57" t="n">
        <v>1</v>
      </c>
      <c r="F10" s="56" t="s">
        <v>97</v>
      </c>
      <c r="G10" s="58" t="n">
        <v>2200</v>
      </c>
      <c r="H10" s="59" t="n">
        <f aca="false">E10*G10</f>
        <v>2200</v>
      </c>
      <c r="I10" s="59" t="n">
        <f aca="false">H10/(1-Summary!$G$11)</f>
        <v>3666.66666666667</v>
      </c>
    </row>
    <row r="11" customFormat="false" ht="15" hidden="false" customHeight="false" outlineLevel="0" collapsed="false">
      <c r="B11" s="54" t="s">
        <v>110</v>
      </c>
      <c r="C11" s="55" t="s">
        <v>111</v>
      </c>
      <c r="D11" s="56" t="s">
        <v>112</v>
      </c>
      <c r="E11" s="57" t="n">
        <v>1</v>
      </c>
      <c r="F11" s="56" t="s">
        <v>97</v>
      </c>
      <c r="G11" s="58" t="n">
        <v>1800</v>
      </c>
      <c r="H11" s="59" t="n">
        <f aca="false">E11*G11</f>
        <v>1800</v>
      </c>
      <c r="I11" s="59" t="n">
        <f aca="false">H11/(1-Summary!$G$11)</f>
        <v>3000</v>
      </c>
    </row>
    <row r="12" customFormat="false" ht="15" hidden="false" customHeight="false" outlineLevel="0" collapsed="false">
      <c r="B12" s="54" t="s">
        <v>113</v>
      </c>
      <c r="C12" s="55" t="s">
        <v>114</v>
      </c>
      <c r="D12" s="56" t="s">
        <v>115</v>
      </c>
      <c r="E12" s="57" t="n">
        <v>2</v>
      </c>
      <c r="F12" s="56" t="s">
        <v>116</v>
      </c>
      <c r="G12" s="58" t="n">
        <v>1800</v>
      </c>
      <c r="H12" s="59" t="n">
        <f aca="false">E12*G12</f>
        <v>3600</v>
      </c>
      <c r="I12" s="59" t="n">
        <f aca="false">H12/(1-Summary!$G$11)</f>
        <v>6000</v>
      </c>
    </row>
    <row r="13" customFormat="false" ht="22.35" hidden="false" customHeight="false" outlineLevel="0" collapsed="false">
      <c r="B13" s="54" t="s">
        <v>117</v>
      </c>
      <c r="C13" s="55" t="s">
        <v>118</v>
      </c>
      <c r="D13" s="56" t="s">
        <v>119</v>
      </c>
      <c r="E13" s="57" t="n">
        <v>1</v>
      </c>
      <c r="F13" s="56" t="s">
        <v>97</v>
      </c>
      <c r="G13" s="58" t="n">
        <v>1200</v>
      </c>
      <c r="H13" s="59" t="n">
        <f aca="false">E13*G13</f>
        <v>1200</v>
      </c>
      <c r="I13" s="59" t="n">
        <f aca="false">H13/(1-Summary!$G$11)</f>
        <v>2000</v>
      </c>
    </row>
    <row r="14" customFormat="false" ht="15" hidden="false" customHeight="false" outlineLevel="0" collapsed="false">
      <c r="B14" s="54" t="s">
        <v>120</v>
      </c>
      <c r="C14" s="55" t="s">
        <v>121</v>
      </c>
      <c r="D14" s="56" t="s">
        <v>122</v>
      </c>
      <c r="E14" s="57" t="n">
        <v>1</v>
      </c>
      <c r="F14" s="56" t="s">
        <v>97</v>
      </c>
      <c r="G14" s="58" t="n">
        <v>8500</v>
      </c>
      <c r="H14" s="59" t="n">
        <f aca="false">E14*G14</f>
        <v>8500</v>
      </c>
      <c r="I14" s="59" t="n">
        <f aca="false">H14/(1-Summary!$G$11)</f>
        <v>14166.6666666667</v>
      </c>
    </row>
    <row r="15" customFormat="false" ht="15" hidden="false" customHeight="false" outlineLevel="0" collapsed="false">
      <c r="B15" s="60"/>
      <c r="C15" s="61" t="s">
        <v>123</v>
      </c>
      <c r="D15" s="60"/>
      <c r="E15" s="60"/>
      <c r="F15" s="60"/>
      <c r="G15" s="60"/>
      <c r="H15" s="62" t="n">
        <f aca="false">SUM(H6:H14)</f>
        <v>43800</v>
      </c>
      <c r="I15" s="62" t="n">
        <f aca="false">SUM(I6:I14)</f>
        <v>73000</v>
      </c>
    </row>
    <row r="17" customFormat="false" ht="15" hidden="false" customHeight="false" outlineLevel="0" collapsed="false">
      <c r="B17" s="53" t="s">
        <v>124</v>
      </c>
      <c r="C17" s="53"/>
      <c r="D17" s="53"/>
      <c r="E17" s="53"/>
      <c r="F17" s="53"/>
      <c r="G17" s="53"/>
      <c r="H17" s="53"/>
      <c r="I17" s="53"/>
    </row>
    <row r="18" customFormat="false" ht="22.35" hidden="false" customHeight="false" outlineLevel="0" collapsed="false">
      <c r="B18" s="54" t="s">
        <v>125</v>
      </c>
      <c r="C18" s="55" t="s">
        <v>126</v>
      </c>
      <c r="D18" s="56" t="s">
        <v>127</v>
      </c>
      <c r="E18" s="57" t="n">
        <v>1</v>
      </c>
      <c r="F18" s="56" t="s">
        <v>97</v>
      </c>
      <c r="G18" s="58" t="n">
        <v>4500</v>
      </c>
      <c r="H18" s="59" t="n">
        <f aca="false">E18*G18</f>
        <v>4500</v>
      </c>
      <c r="I18" s="59" t="n">
        <f aca="false">H18/(1-Summary!$G$11)</f>
        <v>7500</v>
      </c>
    </row>
    <row r="19" customFormat="false" ht="23.85" hidden="false" customHeight="false" outlineLevel="0" collapsed="false">
      <c r="B19" s="54" t="s">
        <v>128</v>
      </c>
      <c r="C19" s="55" t="s">
        <v>129</v>
      </c>
      <c r="D19" s="56" t="s">
        <v>130</v>
      </c>
      <c r="E19" s="57" t="n">
        <v>6</v>
      </c>
      <c r="F19" s="56" t="s">
        <v>131</v>
      </c>
      <c r="G19" s="58" t="n">
        <v>12000</v>
      </c>
      <c r="H19" s="59" t="n">
        <f aca="false">E19*G19</f>
        <v>72000</v>
      </c>
      <c r="I19" s="59" t="n">
        <f aca="false">H19/(1-Summary!$G$11)</f>
        <v>120000</v>
      </c>
    </row>
    <row r="20" customFormat="false" ht="23.85" hidden="false" customHeight="false" outlineLevel="0" collapsed="false">
      <c r="B20" s="54" t="s">
        <v>132</v>
      </c>
      <c r="C20" s="55" t="s">
        <v>133</v>
      </c>
      <c r="D20" s="56" t="s">
        <v>134</v>
      </c>
      <c r="E20" s="57" t="n">
        <v>160</v>
      </c>
      <c r="F20" s="56" t="s">
        <v>135</v>
      </c>
      <c r="G20" s="58" t="n">
        <v>45</v>
      </c>
      <c r="H20" s="59" t="n">
        <f aca="false">E20*G20</f>
        <v>7200</v>
      </c>
      <c r="I20" s="59" t="n">
        <f aca="false">H20/(1-Summary!$G$11)</f>
        <v>12000</v>
      </c>
    </row>
    <row r="21" customFormat="false" ht="15" hidden="false" customHeight="false" outlineLevel="0" collapsed="false">
      <c r="B21" s="54" t="s">
        <v>136</v>
      </c>
      <c r="C21" s="55" t="s">
        <v>137</v>
      </c>
      <c r="D21" s="56" t="s">
        <v>138</v>
      </c>
      <c r="E21" s="57" t="n">
        <v>6</v>
      </c>
      <c r="F21" s="56" t="s">
        <v>131</v>
      </c>
      <c r="G21" s="58" t="n">
        <v>250</v>
      </c>
      <c r="H21" s="59" t="n">
        <f aca="false">E21*G21</f>
        <v>1500</v>
      </c>
      <c r="I21" s="59" t="n">
        <f aca="false">H21/(1-Summary!$G$11)</f>
        <v>2500</v>
      </c>
    </row>
    <row r="22" customFormat="false" ht="15" hidden="false" customHeight="false" outlineLevel="0" collapsed="false">
      <c r="B22" s="54" t="s">
        <v>139</v>
      </c>
      <c r="C22" s="55" t="s">
        <v>140</v>
      </c>
      <c r="D22" s="56" t="s">
        <v>141</v>
      </c>
      <c r="E22" s="57" t="n">
        <v>1</v>
      </c>
      <c r="F22" s="56" t="s">
        <v>97</v>
      </c>
      <c r="G22" s="58" t="n">
        <v>3500</v>
      </c>
      <c r="H22" s="59" t="n">
        <f aca="false">E22*G22</f>
        <v>3500</v>
      </c>
      <c r="I22" s="59" t="n">
        <f aca="false">H22/(1-Summary!$G$11)</f>
        <v>5833.33333333333</v>
      </c>
    </row>
    <row r="23" customFormat="false" ht="15" hidden="false" customHeight="false" outlineLevel="0" collapsed="false">
      <c r="B23" s="54" t="s">
        <v>142</v>
      </c>
      <c r="C23" s="55" t="s">
        <v>143</v>
      </c>
      <c r="D23" s="56" t="s">
        <v>144</v>
      </c>
      <c r="E23" s="57" t="n">
        <v>1</v>
      </c>
      <c r="F23" s="56" t="s">
        <v>97</v>
      </c>
      <c r="G23" s="58" t="n">
        <v>2800</v>
      </c>
      <c r="H23" s="59" t="n">
        <f aca="false">E23*G23</f>
        <v>2800</v>
      </c>
      <c r="I23" s="59" t="n">
        <f aca="false">H23/(1-Summary!$G$11)</f>
        <v>4666.66666666667</v>
      </c>
    </row>
    <row r="24" customFormat="false" ht="15" hidden="false" customHeight="false" outlineLevel="0" collapsed="false">
      <c r="B24" s="54" t="s">
        <v>145</v>
      </c>
      <c r="C24" s="55" t="s">
        <v>146</v>
      </c>
      <c r="D24" s="56" t="s">
        <v>147</v>
      </c>
      <c r="E24" s="57" t="n">
        <v>3</v>
      </c>
      <c r="F24" s="56" t="s">
        <v>131</v>
      </c>
      <c r="G24" s="58" t="n">
        <v>2200</v>
      </c>
      <c r="H24" s="59" t="n">
        <f aca="false">E24*G24</f>
        <v>6600</v>
      </c>
      <c r="I24" s="59" t="n">
        <f aca="false">H24/(1-Summary!$G$11)</f>
        <v>11000</v>
      </c>
    </row>
    <row r="25" customFormat="false" ht="23.85" hidden="false" customHeight="false" outlineLevel="0" collapsed="false">
      <c r="B25" s="54" t="s">
        <v>148</v>
      </c>
      <c r="C25" s="55" t="s">
        <v>149</v>
      </c>
      <c r="D25" s="56" t="s">
        <v>150</v>
      </c>
      <c r="E25" s="57" t="n">
        <v>1</v>
      </c>
      <c r="F25" s="56" t="s">
        <v>151</v>
      </c>
      <c r="G25" s="58" t="n">
        <v>2800</v>
      </c>
      <c r="H25" s="59" t="n">
        <f aca="false">E25*G25</f>
        <v>2800</v>
      </c>
      <c r="I25" s="59" t="n">
        <f aca="false">H25/(1-Summary!$G$11)</f>
        <v>4666.66666666667</v>
      </c>
    </row>
    <row r="26" customFormat="false" ht="15" hidden="false" customHeight="false" outlineLevel="0" collapsed="false">
      <c r="B26" s="54" t="s">
        <v>152</v>
      </c>
      <c r="C26" s="55" t="s">
        <v>153</v>
      </c>
      <c r="D26" s="56" t="s">
        <v>154</v>
      </c>
      <c r="E26" s="57" t="n">
        <v>4</v>
      </c>
      <c r="F26" s="56" t="s">
        <v>131</v>
      </c>
      <c r="G26" s="58" t="n">
        <v>1500</v>
      </c>
      <c r="H26" s="59" t="n">
        <f aca="false">E26*G26</f>
        <v>6000</v>
      </c>
      <c r="I26" s="59" t="n">
        <f aca="false">H26/(1-Summary!$G$11)</f>
        <v>10000</v>
      </c>
    </row>
    <row r="27" customFormat="false" ht="15" hidden="false" customHeight="false" outlineLevel="0" collapsed="false">
      <c r="B27" s="54" t="s">
        <v>155</v>
      </c>
      <c r="C27" s="55" t="s">
        <v>156</v>
      </c>
      <c r="D27" s="56" t="s">
        <v>157</v>
      </c>
      <c r="E27" s="57" t="n">
        <v>6</v>
      </c>
      <c r="F27" s="56" t="s">
        <v>131</v>
      </c>
      <c r="G27" s="58" t="n">
        <v>1800</v>
      </c>
      <c r="H27" s="59" t="n">
        <f aca="false">E27*G27</f>
        <v>10800</v>
      </c>
      <c r="I27" s="59" t="n">
        <f aca="false">H27/(1-Summary!$G$11)</f>
        <v>18000</v>
      </c>
    </row>
    <row r="28" customFormat="false" ht="15" hidden="false" customHeight="false" outlineLevel="0" collapsed="false">
      <c r="B28" s="54" t="s">
        <v>158</v>
      </c>
      <c r="C28" s="55" t="s">
        <v>159</v>
      </c>
      <c r="D28" s="56" t="s">
        <v>160</v>
      </c>
      <c r="E28" s="57" t="n">
        <v>1</v>
      </c>
      <c r="F28" s="56" t="s">
        <v>97</v>
      </c>
      <c r="G28" s="58" t="n">
        <v>8000</v>
      </c>
      <c r="H28" s="59" t="n">
        <f aca="false">E28*G28</f>
        <v>8000</v>
      </c>
      <c r="I28" s="59" t="n">
        <f aca="false">H28/(1-Summary!$G$11)</f>
        <v>13333.3333333333</v>
      </c>
    </row>
    <row r="29" customFormat="false" ht="15" hidden="false" customHeight="false" outlineLevel="0" collapsed="false">
      <c r="B29" s="54" t="s">
        <v>161</v>
      </c>
      <c r="C29" s="55" t="s">
        <v>162</v>
      </c>
      <c r="D29" s="56" t="s">
        <v>163</v>
      </c>
      <c r="E29" s="57" t="n">
        <v>1</v>
      </c>
      <c r="F29" s="56" t="s">
        <v>97</v>
      </c>
      <c r="G29" s="58" t="n">
        <v>3500</v>
      </c>
      <c r="H29" s="59" t="n">
        <f aca="false">E29*G29</f>
        <v>3500</v>
      </c>
      <c r="I29" s="59" t="n">
        <f aca="false">H29/(1-Summary!$G$11)</f>
        <v>5833.33333333333</v>
      </c>
    </row>
    <row r="30" customFormat="false" ht="15" hidden="false" customHeight="false" outlineLevel="0" collapsed="false">
      <c r="B30" s="54" t="s">
        <v>164</v>
      </c>
      <c r="C30" s="55" t="s">
        <v>165</v>
      </c>
      <c r="D30" s="56" t="s">
        <v>166</v>
      </c>
      <c r="E30" s="57" t="n">
        <v>1</v>
      </c>
      <c r="F30" s="56" t="s">
        <v>116</v>
      </c>
      <c r="G30" s="58" t="n">
        <v>450</v>
      </c>
      <c r="H30" s="59" t="n">
        <f aca="false">E30*G30</f>
        <v>450</v>
      </c>
      <c r="I30" s="59" t="n">
        <f aca="false">H30/(1-Summary!$G$11)</f>
        <v>750</v>
      </c>
    </row>
    <row r="31" customFormat="false" ht="22.35" hidden="false" customHeight="false" outlineLevel="0" collapsed="false">
      <c r="B31" s="54" t="s">
        <v>167</v>
      </c>
      <c r="C31" s="55" t="s">
        <v>168</v>
      </c>
      <c r="D31" s="56" t="s">
        <v>169</v>
      </c>
      <c r="E31" s="57" t="n">
        <v>1</v>
      </c>
      <c r="F31" s="56" t="s">
        <v>97</v>
      </c>
      <c r="G31" s="58" t="n">
        <v>3000</v>
      </c>
      <c r="H31" s="59" t="n">
        <f aca="false">E31*G31</f>
        <v>3000</v>
      </c>
      <c r="I31" s="59" t="n">
        <f aca="false">H31/(1-Summary!$G$11)</f>
        <v>5000</v>
      </c>
    </row>
    <row r="32" customFormat="false" ht="15" hidden="false" customHeight="false" outlineLevel="0" collapsed="false">
      <c r="B32" s="54" t="s">
        <v>170</v>
      </c>
      <c r="C32" s="55" t="s">
        <v>171</v>
      </c>
      <c r="D32" s="56" t="s">
        <v>172</v>
      </c>
      <c r="E32" s="57" t="n">
        <v>1</v>
      </c>
      <c r="F32" s="56" t="s">
        <v>97</v>
      </c>
      <c r="G32" s="58" t="n">
        <v>1200</v>
      </c>
      <c r="H32" s="59" t="n">
        <f aca="false">E32*G32</f>
        <v>1200</v>
      </c>
      <c r="I32" s="59" t="n">
        <f aca="false">H32/(1-Summary!$G$11)</f>
        <v>2000</v>
      </c>
    </row>
    <row r="33" customFormat="false" ht="15" hidden="false" customHeight="false" outlineLevel="0" collapsed="false">
      <c r="B33" s="54" t="s">
        <v>173</v>
      </c>
      <c r="C33" s="55" t="s">
        <v>174</v>
      </c>
      <c r="D33" s="56" t="s">
        <v>175</v>
      </c>
      <c r="E33" s="57" t="n">
        <v>1</v>
      </c>
      <c r="F33" s="56" t="s">
        <v>97</v>
      </c>
      <c r="G33" s="58" t="n">
        <v>900</v>
      </c>
      <c r="H33" s="59" t="n">
        <f aca="false">E33*G33</f>
        <v>900</v>
      </c>
      <c r="I33" s="59" t="n">
        <f aca="false">H33/(1-Summary!$G$11)</f>
        <v>1500</v>
      </c>
    </row>
    <row r="34" customFormat="false" ht="15" hidden="false" customHeight="false" outlineLevel="0" collapsed="false">
      <c r="B34" s="60"/>
      <c r="C34" s="61" t="s">
        <v>176</v>
      </c>
      <c r="D34" s="60"/>
      <c r="E34" s="60"/>
      <c r="F34" s="60"/>
      <c r="G34" s="60"/>
      <c r="H34" s="62" t="n">
        <f aca="false">SUM(H18:H33)</f>
        <v>134750</v>
      </c>
      <c r="I34" s="62" t="n">
        <f aca="false">SUM(I18:I33)</f>
        <v>224583.333333333</v>
      </c>
    </row>
    <row r="36" customFormat="false" ht="15" hidden="false" customHeight="false" outlineLevel="0" collapsed="false">
      <c r="B36" s="53" t="s">
        <v>177</v>
      </c>
      <c r="C36" s="53"/>
      <c r="D36" s="53"/>
      <c r="E36" s="53"/>
      <c r="F36" s="53"/>
      <c r="G36" s="53"/>
      <c r="H36" s="53"/>
      <c r="I36" s="53"/>
    </row>
    <row r="37" customFormat="false" ht="22.35" hidden="false" customHeight="false" outlineLevel="0" collapsed="false">
      <c r="B37" s="54" t="s">
        <v>178</v>
      </c>
      <c r="C37" s="55" t="s">
        <v>179</v>
      </c>
      <c r="D37" s="56" t="s">
        <v>180</v>
      </c>
      <c r="E37" s="57" t="n">
        <v>1</v>
      </c>
      <c r="F37" s="56" t="s">
        <v>97</v>
      </c>
      <c r="G37" s="58" t="n">
        <v>8000</v>
      </c>
      <c r="H37" s="59" t="n">
        <f aca="false">E37*G37</f>
        <v>8000</v>
      </c>
      <c r="I37" s="59" t="n">
        <f aca="false">H37/(1-Summary!$G$11)</f>
        <v>13333.3333333333</v>
      </c>
    </row>
    <row r="38" customFormat="false" ht="22.35" hidden="false" customHeight="false" outlineLevel="0" collapsed="false">
      <c r="B38" s="54" t="s">
        <v>181</v>
      </c>
      <c r="C38" s="55" t="s">
        <v>182</v>
      </c>
      <c r="D38" s="56" t="s">
        <v>183</v>
      </c>
      <c r="E38" s="57" t="n">
        <v>1300</v>
      </c>
      <c r="F38" s="56" t="s">
        <v>184</v>
      </c>
      <c r="G38" s="58" t="n">
        <v>12</v>
      </c>
      <c r="H38" s="59" t="n">
        <f aca="false">E38*G38</f>
        <v>15600</v>
      </c>
      <c r="I38" s="59" t="n">
        <f aca="false">H38/(1-Summary!$G$11)</f>
        <v>26000</v>
      </c>
    </row>
    <row r="39" customFormat="false" ht="22.35" hidden="false" customHeight="false" outlineLevel="0" collapsed="false">
      <c r="B39" s="54" t="s">
        <v>185</v>
      </c>
      <c r="C39" s="55" t="s">
        <v>186</v>
      </c>
      <c r="D39" s="56" t="s">
        <v>187</v>
      </c>
      <c r="E39" s="57" t="n">
        <v>1</v>
      </c>
      <c r="F39" s="56" t="s">
        <v>97</v>
      </c>
      <c r="G39" s="58" t="n">
        <v>12000</v>
      </c>
      <c r="H39" s="59" t="n">
        <f aca="false">E39*G39</f>
        <v>12000</v>
      </c>
      <c r="I39" s="59" t="n">
        <f aca="false">H39/(1-Summary!$G$11)</f>
        <v>20000</v>
      </c>
    </row>
    <row r="40" customFormat="false" ht="15" hidden="false" customHeight="false" outlineLevel="0" collapsed="false">
      <c r="B40" s="60"/>
      <c r="C40" s="61" t="s">
        <v>188</v>
      </c>
      <c r="D40" s="60"/>
      <c r="E40" s="60"/>
      <c r="F40" s="60"/>
      <c r="G40" s="60"/>
      <c r="H40" s="62" t="n">
        <f aca="false">SUM(H37:H39)</f>
        <v>35600</v>
      </c>
      <c r="I40" s="62" t="n">
        <f aca="false">SUM(I37:I39)</f>
        <v>59333.3333333333</v>
      </c>
    </row>
    <row r="42" customFormat="false" ht="15" hidden="false" customHeight="false" outlineLevel="0" collapsed="false">
      <c r="B42" s="53" t="s">
        <v>189</v>
      </c>
      <c r="C42" s="53"/>
      <c r="D42" s="53"/>
      <c r="E42" s="53"/>
      <c r="F42" s="53"/>
      <c r="G42" s="53"/>
      <c r="H42" s="53"/>
      <c r="I42" s="53"/>
    </row>
    <row r="43" customFormat="false" ht="22.35" hidden="false" customHeight="false" outlineLevel="0" collapsed="false">
      <c r="B43" s="54" t="s">
        <v>190</v>
      </c>
      <c r="C43" s="55" t="s">
        <v>191</v>
      </c>
      <c r="D43" s="56" t="s">
        <v>192</v>
      </c>
      <c r="E43" s="57" t="n">
        <v>600</v>
      </c>
      <c r="F43" s="56" t="s">
        <v>193</v>
      </c>
      <c r="G43" s="58" t="n">
        <v>22</v>
      </c>
      <c r="H43" s="59" t="n">
        <f aca="false">E43*G43</f>
        <v>13200</v>
      </c>
      <c r="I43" s="59" t="n">
        <f aca="false">H43/(1-Summary!$G$11)</f>
        <v>22000</v>
      </c>
    </row>
    <row r="44" customFormat="false" ht="15" hidden="false" customHeight="false" outlineLevel="0" collapsed="false">
      <c r="B44" s="54" t="s">
        <v>194</v>
      </c>
      <c r="C44" s="55" t="s">
        <v>195</v>
      </c>
      <c r="D44" s="56" t="s">
        <v>196</v>
      </c>
      <c r="E44" s="57" t="n">
        <v>190</v>
      </c>
      <c r="F44" s="56" t="s">
        <v>193</v>
      </c>
      <c r="G44" s="58" t="n">
        <v>28</v>
      </c>
      <c r="H44" s="59" t="n">
        <f aca="false">E44*G44</f>
        <v>5320</v>
      </c>
      <c r="I44" s="59" t="n">
        <f aca="false">H44/(1-Summary!$G$11)</f>
        <v>8866.66666666667</v>
      </c>
    </row>
    <row r="45" customFormat="false" ht="15" hidden="false" customHeight="false" outlineLevel="0" collapsed="false">
      <c r="B45" s="54" t="s">
        <v>197</v>
      </c>
      <c r="C45" s="55" t="s">
        <v>198</v>
      </c>
      <c r="D45" s="56" t="s">
        <v>199</v>
      </c>
      <c r="E45" s="57" t="n">
        <v>2500</v>
      </c>
      <c r="F45" s="56" t="s">
        <v>184</v>
      </c>
      <c r="G45" s="58" t="n">
        <v>5</v>
      </c>
      <c r="H45" s="59" t="n">
        <f aca="false">E45*G45</f>
        <v>12500</v>
      </c>
      <c r="I45" s="59" t="n">
        <f aca="false">H45/(1-Summary!$G$11)</f>
        <v>20833.3333333333</v>
      </c>
    </row>
    <row r="46" customFormat="false" ht="22.35" hidden="false" customHeight="false" outlineLevel="0" collapsed="false">
      <c r="B46" s="54" t="s">
        <v>200</v>
      </c>
      <c r="C46" s="55" t="s">
        <v>201</v>
      </c>
      <c r="D46" s="56" t="s">
        <v>202</v>
      </c>
      <c r="E46" s="57" t="n">
        <v>50</v>
      </c>
      <c r="F46" s="56" t="s">
        <v>135</v>
      </c>
      <c r="G46" s="58" t="n">
        <v>85</v>
      </c>
      <c r="H46" s="59" t="n">
        <f aca="false">E46*G46</f>
        <v>4250</v>
      </c>
      <c r="I46" s="59" t="n">
        <f aca="false">H46/(1-Summary!$G$11)</f>
        <v>7083.33333333333</v>
      </c>
    </row>
    <row r="47" customFormat="false" ht="15" hidden="false" customHeight="false" outlineLevel="0" collapsed="false">
      <c r="B47" s="60"/>
      <c r="C47" s="61" t="s">
        <v>203</v>
      </c>
      <c r="D47" s="60"/>
      <c r="E47" s="60"/>
      <c r="F47" s="60"/>
      <c r="G47" s="60"/>
      <c r="H47" s="62" t="n">
        <f aca="false">SUM(H43:H46)</f>
        <v>35270</v>
      </c>
      <c r="I47" s="62" t="n">
        <f aca="false">SUM(I43:I46)</f>
        <v>58783.3333333333</v>
      </c>
    </row>
    <row r="49" customFormat="false" ht="15" hidden="false" customHeight="false" outlineLevel="0" collapsed="false">
      <c r="B49" s="53" t="s">
        <v>204</v>
      </c>
      <c r="C49" s="53"/>
      <c r="D49" s="53"/>
      <c r="E49" s="53"/>
      <c r="F49" s="53"/>
      <c r="G49" s="53"/>
      <c r="H49" s="53"/>
      <c r="I49" s="53"/>
    </row>
    <row r="50" customFormat="false" ht="23.85" hidden="false" customHeight="false" outlineLevel="0" collapsed="false">
      <c r="B50" s="54" t="s">
        <v>205</v>
      </c>
      <c r="C50" s="55" t="s">
        <v>206</v>
      </c>
      <c r="D50" s="56" t="s">
        <v>207</v>
      </c>
      <c r="E50" s="57" t="n">
        <v>314</v>
      </c>
      <c r="F50" s="56" t="s">
        <v>135</v>
      </c>
      <c r="G50" s="58" t="n">
        <v>70</v>
      </c>
      <c r="H50" s="59" t="n">
        <f aca="false">E50*G50</f>
        <v>21980</v>
      </c>
      <c r="I50" s="59" t="n">
        <f aca="false">H50/(1-Summary!$G$11)</f>
        <v>36633.3333333333</v>
      </c>
    </row>
    <row r="51" customFormat="false" ht="23.85" hidden="false" customHeight="false" outlineLevel="0" collapsed="false">
      <c r="B51" s="54" t="s">
        <v>208</v>
      </c>
      <c r="C51" s="55" t="s">
        <v>209</v>
      </c>
      <c r="D51" s="56" t="s">
        <v>210</v>
      </c>
      <c r="E51" s="57" t="n">
        <v>181</v>
      </c>
      <c r="F51" s="56" t="s">
        <v>135</v>
      </c>
      <c r="G51" s="58" t="n">
        <v>150</v>
      </c>
      <c r="H51" s="59" t="n">
        <f aca="false">E51*G51</f>
        <v>27150</v>
      </c>
      <c r="I51" s="59" t="n">
        <f aca="false">H51/(1-Summary!$G$11)</f>
        <v>45250</v>
      </c>
    </row>
    <row r="52" customFormat="false" ht="23.85" hidden="false" customHeight="false" outlineLevel="0" collapsed="false">
      <c r="B52" s="54" t="s">
        <v>208</v>
      </c>
      <c r="C52" s="55" t="s">
        <v>209</v>
      </c>
      <c r="D52" s="56" t="s">
        <v>211</v>
      </c>
      <c r="E52" s="57" t="n">
        <v>113</v>
      </c>
      <c r="F52" s="56" t="s">
        <v>135</v>
      </c>
      <c r="G52" s="58" t="n">
        <v>150</v>
      </c>
      <c r="H52" s="59" t="n">
        <f aca="false">E52*G52</f>
        <v>16950</v>
      </c>
      <c r="I52" s="59" t="n">
        <f aca="false">H52/(1-Summary!$G$11)</f>
        <v>28250</v>
      </c>
    </row>
    <row r="53" customFormat="false" ht="15" hidden="false" customHeight="false" outlineLevel="0" collapsed="false">
      <c r="B53" s="54" t="s">
        <v>212</v>
      </c>
      <c r="C53" s="55" t="s">
        <v>213</v>
      </c>
      <c r="D53" s="56" t="s">
        <v>214</v>
      </c>
      <c r="E53" s="57" t="n">
        <v>1360</v>
      </c>
      <c r="F53" s="56" t="s">
        <v>184</v>
      </c>
      <c r="G53" s="58" t="n">
        <v>12</v>
      </c>
      <c r="H53" s="59" t="n">
        <f aca="false">E53*G53</f>
        <v>16320</v>
      </c>
      <c r="I53" s="59" t="n">
        <f aca="false">H53/(1-Summary!$G$11)</f>
        <v>27200</v>
      </c>
    </row>
    <row r="54" customFormat="false" ht="15" hidden="false" customHeight="false" outlineLevel="0" collapsed="false">
      <c r="B54" s="54" t="s">
        <v>215</v>
      </c>
      <c r="C54" s="55" t="s">
        <v>216</v>
      </c>
      <c r="D54" s="56" t="s">
        <v>217</v>
      </c>
      <c r="E54" s="57" t="n">
        <v>181</v>
      </c>
      <c r="F54" s="56" t="s">
        <v>135</v>
      </c>
      <c r="G54" s="58" t="n">
        <v>28</v>
      </c>
      <c r="H54" s="59" t="n">
        <f aca="false">E54*G54</f>
        <v>5068</v>
      </c>
      <c r="I54" s="59" t="n">
        <f aca="false">H54/(1-Summary!$G$11)</f>
        <v>8446.66666666667</v>
      </c>
    </row>
    <row r="55" customFormat="false" ht="15" hidden="false" customHeight="false" outlineLevel="0" collapsed="false">
      <c r="B55" s="54" t="s">
        <v>218</v>
      </c>
      <c r="C55" s="55" t="s">
        <v>219</v>
      </c>
      <c r="D55" s="56" t="s">
        <v>220</v>
      </c>
      <c r="E55" s="57" t="n">
        <v>90</v>
      </c>
      <c r="F55" s="56" t="s">
        <v>221</v>
      </c>
      <c r="G55" s="58" t="n">
        <v>48</v>
      </c>
      <c r="H55" s="59" t="n">
        <f aca="false">E55*G55</f>
        <v>4320</v>
      </c>
      <c r="I55" s="59" t="n">
        <f aca="false">H55/(1-Summary!$G$11)</f>
        <v>7200</v>
      </c>
    </row>
    <row r="56" customFormat="false" ht="15" hidden="false" customHeight="false" outlineLevel="0" collapsed="false">
      <c r="B56" s="54" t="s">
        <v>222</v>
      </c>
      <c r="C56" s="55" t="s">
        <v>223</v>
      </c>
      <c r="D56" s="56" t="s">
        <v>224</v>
      </c>
      <c r="E56" s="57" t="n">
        <v>100</v>
      </c>
      <c r="F56" s="56" t="s">
        <v>193</v>
      </c>
      <c r="G56" s="58" t="n">
        <v>22</v>
      </c>
      <c r="H56" s="59" t="n">
        <f aca="false">E56*G56</f>
        <v>2200</v>
      </c>
      <c r="I56" s="59" t="n">
        <f aca="false">H56/(1-Summary!$G$11)</f>
        <v>3666.66666666667</v>
      </c>
    </row>
    <row r="57" customFormat="false" ht="15" hidden="false" customHeight="false" outlineLevel="0" collapsed="false">
      <c r="B57" s="60"/>
      <c r="C57" s="61" t="s">
        <v>225</v>
      </c>
      <c r="D57" s="60"/>
      <c r="E57" s="60"/>
      <c r="F57" s="60"/>
      <c r="G57" s="60"/>
      <c r="H57" s="62" t="n">
        <f aca="false">SUM(H50:H56)</f>
        <v>93988</v>
      </c>
      <c r="I57" s="62" t="n">
        <f aca="false">SUM(I50:I56)</f>
        <v>156646.666666667</v>
      </c>
    </row>
    <row r="59" customFormat="false" ht="15" hidden="false" customHeight="false" outlineLevel="0" collapsed="false">
      <c r="B59" s="53" t="s">
        <v>226</v>
      </c>
      <c r="C59" s="53"/>
      <c r="D59" s="53"/>
      <c r="E59" s="53"/>
      <c r="F59" s="53"/>
      <c r="G59" s="53"/>
      <c r="H59" s="53"/>
      <c r="I59" s="53"/>
    </row>
    <row r="60" customFormat="false" ht="22.35" hidden="false" customHeight="false" outlineLevel="0" collapsed="false">
      <c r="B60" s="54" t="s">
        <v>227</v>
      </c>
      <c r="C60" s="55" t="s">
        <v>228</v>
      </c>
      <c r="D60" s="56" t="s">
        <v>229</v>
      </c>
      <c r="E60" s="57" t="n">
        <v>1460</v>
      </c>
      <c r="F60" s="56" t="s">
        <v>184</v>
      </c>
      <c r="G60" s="58" t="n">
        <v>12</v>
      </c>
      <c r="H60" s="59" t="n">
        <f aca="false">E60*G60</f>
        <v>17520</v>
      </c>
      <c r="I60" s="59" t="n">
        <f aca="false">H60/(1-Summary!$G$11)</f>
        <v>29200</v>
      </c>
    </row>
    <row r="61" customFormat="false" ht="15" hidden="false" customHeight="false" outlineLevel="0" collapsed="false">
      <c r="B61" s="54" t="s">
        <v>227</v>
      </c>
      <c r="C61" s="55" t="s">
        <v>228</v>
      </c>
      <c r="D61" s="56" t="s">
        <v>230</v>
      </c>
      <c r="E61" s="57" t="n">
        <v>548</v>
      </c>
      <c r="F61" s="56" t="s">
        <v>184</v>
      </c>
      <c r="G61" s="58" t="n">
        <v>12</v>
      </c>
      <c r="H61" s="59" t="n">
        <f aca="false">E61*G61</f>
        <v>6576</v>
      </c>
      <c r="I61" s="59" t="n">
        <f aca="false">H61/(1-Summary!$G$11)</f>
        <v>10960</v>
      </c>
    </row>
    <row r="62" customFormat="false" ht="15" hidden="false" customHeight="false" outlineLevel="0" collapsed="false">
      <c r="B62" s="54" t="s">
        <v>231</v>
      </c>
      <c r="C62" s="55" t="s">
        <v>232</v>
      </c>
      <c r="D62" s="56" t="s">
        <v>233</v>
      </c>
      <c r="E62" s="57" t="n">
        <v>264</v>
      </c>
      <c r="F62" s="56" t="s">
        <v>184</v>
      </c>
      <c r="G62" s="58" t="n">
        <v>22</v>
      </c>
      <c r="H62" s="59" t="n">
        <f aca="false">E62*G62</f>
        <v>5808</v>
      </c>
      <c r="I62" s="59" t="n">
        <f aca="false">H62/(1-Summary!$G$11)</f>
        <v>9680</v>
      </c>
    </row>
    <row r="63" customFormat="false" ht="15" hidden="false" customHeight="false" outlineLevel="0" collapsed="false">
      <c r="B63" s="60"/>
      <c r="C63" s="61" t="s">
        <v>234</v>
      </c>
      <c r="D63" s="60"/>
      <c r="E63" s="60"/>
      <c r="F63" s="60"/>
      <c r="G63" s="60"/>
      <c r="H63" s="62" t="n">
        <f aca="false">SUM(H60:H62)</f>
        <v>29904</v>
      </c>
      <c r="I63" s="62" t="n">
        <f aca="false">SUM(I60:I62)</f>
        <v>49840</v>
      </c>
    </row>
    <row r="65" customFormat="false" ht="15" hidden="false" customHeight="false" outlineLevel="0" collapsed="false">
      <c r="B65" s="53" t="s">
        <v>235</v>
      </c>
      <c r="C65" s="53"/>
      <c r="D65" s="53"/>
      <c r="E65" s="53"/>
      <c r="F65" s="53"/>
      <c r="G65" s="53"/>
      <c r="H65" s="53"/>
      <c r="I65" s="53"/>
    </row>
    <row r="66" customFormat="false" ht="22.35" hidden="false" customHeight="false" outlineLevel="0" collapsed="false">
      <c r="B66" s="54" t="s">
        <v>236</v>
      </c>
      <c r="C66" s="55" t="s">
        <v>237</v>
      </c>
      <c r="D66" s="56" t="s">
        <v>238</v>
      </c>
      <c r="E66" s="57" t="n">
        <v>3478</v>
      </c>
      <c r="F66" s="56" t="s">
        <v>184</v>
      </c>
      <c r="G66" s="58" t="n">
        <v>20</v>
      </c>
      <c r="H66" s="59" t="n">
        <f aca="false">E66*G66</f>
        <v>69560</v>
      </c>
      <c r="I66" s="59" t="n">
        <f aca="false">H66/(1-Summary!$G$11)</f>
        <v>115933.333333333</v>
      </c>
    </row>
    <row r="67" customFormat="false" ht="15" hidden="false" customHeight="false" outlineLevel="0" collapsed="false">
      <c r="B67" s="54" t="s">
        <v>239</v>
      </c>
      <c r="C67" s="55" t="s">
        <v>240</v>
      </c>
      <c r="D67" s="56" t="s">
        <v>241</v>
      </c>
      <c r="E67" s="57" t="n">
        <v>3478</v>
      </c>
      <c r="F67" s="56" t="s">
        <v>184</v>
      </c>
      <c r="G67" s="58" t="n">
        <v>18</v>
      </c>
      <c r="H67" s="59" t="n">
        <f aca="false">E67*G67</f>
        <v>62604</v>
      </c>
      <c r="I67" s="59" t="n">
        <f aca="false">H67/(1-Summary!$G$11)</f>
        <v>104340</v>
      </c>
    </row>
    <row r="68" customFormat="false" ht="23.85" hidden="false" customHeight="false" outlineLevel="0" collapsed="false">
      <c r="B68" s="54" t="s">
        <v>242</v>
      </c>
      <c r="C68" s="55" t="s">
        <v>243</v>
      </c>
      <c r="D68" s="56" t="s">
        <v>244</v>
      </c>
      <c r="E68" s="57" t="n">
        <v>2930</v>
      </c>
      <c r="F68" s="56" t="s">
        <v>184</v>
      </c>
      <c r="G68" s="58" t="n">
        <v>4</v>
      </c>
      <c r="H68" s="59" t="n">
        <f aca="false">E68*G68</f>
        <v>11720</v>
      </c>
      <c r="I68" s="59" t="n">
        <f aca="false">H68/(1-Summary!$G$11)</f>
        <v>19533.3333333333</v>
      </c>
    </row>
    <row r="69" customFormat="false" ht="22.35" hidden="false" customHeight="false" outlineLevel="0" collapsed="false">
      <c r="B69" s="54" t="s">
        <v>245</v>
      </c>
      <c r="C69" s="55" t="s">
        <v>246</v>
      </c>
      <c r="D69" s="56" t="s">
        <v>247</v>
      </c>
      <c r="E69" s="57" t="n">
        <v>7</v>
      </c>
      <c r="F69" s="56" t="s">
        <v>116</v>
      </c>
      <c r="G69" s="58" t="n">
        <v>4500</v>
      </c>
      <c r="H69" s="59" t="n">
        <f aca="false">E69*G69</f>
        <v>31500</v>
      </c>
      <c r="I69" s="59" t="n">
        <f aca="false">H69/(1-Summary!$G$11)</f>
        <v>52500</v>
      </c>
    </row>
    <row r="70" customFormat="false" ht="15" hidden="false" customHeight="false" outlineLevel="0" collapsed="false">
      <c r="B70" s="54" t="s">
        <v>248</v>
      </c>
      <c r="C70" s="55" t="s">
        <v>249</v>
      </c>
      <c r="D70" s="56" t="s">
        <v>250</v>
      </c>
      <c r="E70" s="57" t="n">
        <v>5</v>
      </c>
      <c r="F70" s="56" t="s">
        <v>116</v>
      </c>
      <c r="G70" s="58" t="n">
        <v>1200</v>
      </c>
      <c r="H70" s="59" t="n">
        <f aca="false">E70*G70</f>
        <v>6000</v>
      </c>
      <c r="I70" s="59" t="n">
        <f aca="false">H70/(1-Summary!$G$11)</f>
        <v>10000</v>
      </c>
    </row>
    <row r="71" customFormat="false" ht="15" hidden="false" customHeight="false" outlineLevel="0" collapsed="false">
      <c r="B71" s="60"/>
      <c r="C71" s="61" t="s">
        <v>251</v>
      </c>
      <c r="D71" s="60"/>
      <c r="E71" s="60"/>
      <c r="F71" s="60"/>
      <c r="G71" s="60"/>
      <c r="H71" s="62" t="n">
        <f aca="false">SUM(H66:H70)</f>
        <v>181384</v>
      </c>
      <c r="I71" s="62" t="n">
        <f aca="false">SUM(I66:I70)</f>
        <v>302306.666666667</v>
      </c>
    </row>
    <row r="73" customFormat="false" ht="15" hidden="false" customHeight="false" outlineLevel="0" collapsed="false">
      <c r="B73" s="53" t="s">
        <v>252</v>
      </c>
      <c r="C73" s="53"/>
      <c r="D73" s="53"/>
      <c r="E73" s="53"/>
      <c r="F73" s="53"/>
      <c r="G73" s="53"/>
      <c r="H73" s="53"/>
      <c r="I73" s="53"/>
    </row>
    <row r="74" customFormat="false" ht="22.35" hidden="false" customHeight="false" outlineLevel="0" collapsed="false">
      <c r="B74" s="54" t="s">
        <v>253</v>
      </c>
      <c r="C74" s="55" t="s">
        <v>254</v>
      </c>
      <c r="D74" s="56" t="s">
        <v>255</v>
      </c>
      <c r="E74" s="57" t="n">
        <v>1850</v>
      </c>
      <c r="F74" s="56" t="s">
        <v>184</v>
      </c>
      <c r="G74" s="58" t="n">
        <v>8</v>
      </c>
      <c r="H74" s="59" t="n">
        <f aca="false">E74*G74</f>
        <v>14800</v>
      </c>
      <c r="I74" s="59" t="n">
        <f aca="false">H74/(1-Summary!$G$11)</f>
        <v>24666.6666666667</v>
      </c>
    </row>
    <row r="75" customFormat="false" ht="23.85" hidden="false" customHeight="false" outlineLevel="0" collapsed="false">
      <c r="B75" s="54" t="s">
        <v>256</v>
      </c>
      <c r="C75" s="55" t="s">
        <v>257</v>
      </c>
      <c r="D75" s="56" t="s">
        <v>258</v>
      </c>
      <c r="E75" s="57" t="n">
        <v>950</v>
      </c>
      <c r="F75" s="56" t="s">
        <v>184</v>
      </c>
      <c r="G75" s="58" t="n">
        <v>12</v>
      </c>
      <c r="H75" s="59" t="n">
        <f aca="false">E75*G75</f>
        <v>11400</v>
      </c>
      <c r="I75" s="59" t="n">
        <f aca="false">H75/(1-Summary!$G$11)</f>
        <v>19000</v>
      </c>
    </row>
    <row r="76" customFormat="false" ht="15" hidden="false" customHeight="false" outlineLevel="0" collapsed="false">
      <c r="B76" s="54" t="s">
        <v>259</v>
      </c>
      <c r="C76" s="55" t="s">
        <v>260</v>
      </c>
      <c r="D76" s="56" t="s">
        <v>261</v>
      </c>
      <c r="E76" s="57" t="n">
        <v>165</v>
      </c>
      <c r="F76" s="56" t="s">
        <v>135</v>
      </c>
      <c r="G76" s="58" t="n">
        <v>45</v>
      </c>
      <c r="H76" s="59" t="n">
        <f aca="false">E76*G76</f>
        <v>7425</v>
      </c>
      <c r="I76" s="59" t="n">
        <f aca="false">H76/(1-Summary!$G$11)</f>
        <v>12375</v>
      </c>
    </row>
    <row r="77" customFormat="false" ht="15" hidden="false" customHeight="false" outlineLevel="0" collapsed="false">
      <c r="B77" s="54" t="s">
        <v>262</v>
      </c>
      <c r="C77" s="55" t="s">
        <v>263</v>
      </c>
      <c r="D77" s="56" t="s">
        <v>264</v>
      </c>
      <c r="E77" s="57" t="n">
        <v>220</v>
      </c>
      <c r="F77" s="56" t="s">
        <v>135</v>
      </c>
      <c r="G77" s="58" t="n">
        <v>16</v>
      </c>
      <c r="H77" s="59" t="n">
        <f aca="false">E77*G77</f>
        <v>3520</v>
      </c>
      <c r="I77" s="59" t="n">
        <f aca="false">H77/(1-Summary!$G$11)</f>
        <v>5866.66666666667</v>
      </c>
    </row>
    <row r="78" customFormat="false" ht="15" hidden="false" customHeight="false" outlineLevel="0" collapsed="false">
      <c r="B78" s="54" t="s">
        <v>265</v>
      </c>
      <c r="C78" s="55" t="s">
        <v>266</v>
      </c>
      <c r="D78" s="56" t="s">
        <v>267</v>
      </c>
      <c r="E78" s="57" t="n">
        <v>220</v>
      </c>
      <c r="F78" s="56" t="s">
        <v>135</v>
      </c>
      <c r="G78" s="58" t="n">
        <v>14</v>
      </c>
      <c r="H78" s="59" t="n">
        <f aca="false">E78*G78</f>
        <v>3080</v>
      </c>
      <c r="I78" s="59" t="n">
        <f aca="false">H78/(1-Summary!$G$11)</f>
        <v>5133.33333333333</v>
      </c>
    </row>
    <row r="79" customFormat="false" ht="15" hidden="false" customHeight="false" outlineLevel="0" collapsed="false">
      <c r="B79" s="54" t="s">
        <v>268</v>
      </c>
      <c r="C79" s="55" t="s">
        <v>269</v>
      </c>
      <c r="D79" s="56" t="s">
        <v>270</v>
      </c>
      <c r="E79" s="57" t="n">
        <v>220</v>
      </c>
      <c r="F79" s="56" t="s">
        <v>135</v>
      </c>
      <c r="G79" s="58" t="n">
        <v>16</v>
      </c>
      <c r="H79" s="59" t="n">
        <f aca="false">E79*G79</f>
        <v>3520</v>
      </c>
      <c r="I79" s="59" t="n">
        <f aca="false">H79/(1-Summary!$G$11)</f>
        <v>5866.66666666667</v>
      </c>
    </row>
    <row r="80" customFormat="false" ht="15" hidden="false" customHeight="false" outlineLevel="0" collapsed="false">
      <c r="B80" s="60"/>
      <c r="C80" s="61" t="s">
        <v>271</v>
      </c>
      <c r="D80" s="60"/>
      <c r="E80" s="60"/>
      <c r="F80" s="60"/>
      <c r="G80" s="60"/>
      <c r="H80" s="62" t="n">
        <f aca="false">SUM(H74:H79)</f>
        <v>43745</v>
      </c>
      <c r="I80" s="62" t="n">
        <f aca="false">SUM(I74:I79)</f>
        <v>72908.3333333333</v>
      </c>
    </row>
    <row r="82" customFormat="false" ht="15" hidden="false" customHeight="false" outlineLevel="0" collapsed="false">
      <c r="B82" s="53" t="s">
        <v>272</v>
      </c>
      <c r="C82" s="53"/>
      <c r="D82" s="53"/>
      <c r="E82" s="53"/>
      <c r="F82" s="53"/>
      <c r="G82" s="53"/>
      <c r="H82" s="53"/>
      <c r="I82" s="53"/>
    </row>
    <row r="83" customFormat="false" ht="22.35" hidden="false" customHeight="false" outlineLevel="0" collapsed="false">
      <c r="B83" s="54" t="s">
        <v>273</v>
      </c>
      <c r="C83" s="55" t="s">
        <v>274</v>
      </c>
      <c r="D83" s="56" t="s">
        <v>275</v>
      </c>
      <c r="E83" s="57" t="n">
        <v>430</v>
      </c>
      <c r="F83" s="56" t="s">
        <v>184</v>
      </c>
      <c r="G83" s="58" t="n">
        <v>42</v>
      </c>
      <c r="H83" s="59" t="n">
        <f aca="false">E83*G83</f>
        <v>18060</v>
      </c>
      <c r="I83" s="59" t="n">
        <f aca="false">H83/(1-Summary!$G$11)</f>
        <v>30100</v>
      </c>
    </row>
    <row r="84" customFormat="false" ht="15" hidden="false" customHeight="false" outlineLevel="0" collapsed="false">
      <c r="B84" s="54" t="s">
        <v>273</v>
      </c>
      <c r="C84" s="55" t="s">
        <v>274</v>
      </c>
      <c r="D84" s="56" t="s">
        <v>276</v>
      </c>
      <c r="E84" s="57" t="n">
        <v>72</v>
      </c>
      <c r="F84" s="56" t="s">
        <v>184</v>
      </c>
      <c r="G84" s="58" t="n">
        <v>42</v>
      </c>
      <c r="H84" s="59" t="n">
        <f aca="false">E84*G84</f>
        <v>3024</v>
      </c>
      <c r="I84" s="59" t="n">
        <f aca="false">H84/(1-Summary!$G$11)</f>
        <v>5040</v>
      </c>
    </row>
    <row r="85" customFormat="false" ht="22.35" hidden="false" customHeight="false" outlineLevel="0" collapsed="false">
      <c r="B85" s="54" t="s">
        <v>277</v>
      </c>
      <c r="C85" s="55" t="s">
        <v>278</v>
      </c>
      <c r="D85" s="56" t="s">
        <v>279</v>
      </c>
      <c r="E85" s="57" t="n">
        <v>3</v>
      </c>
      <c r="F85" s="56" t="s">
        <v>116</v>
      </c>
      <c r="G85" s="58" t="n">
        <v>1800</v>
      </c>
      <c r="H85" s="59" t="n">
        <f aca="false">E85*G85</f>
        <v>5400</v>
      </c>
      <c r="I85" s="59" t="n">
        <f aca="false">H85/(1-Summary!$G$11)</f>
        <v>9000</v>
      </c>
    </row>
    <row r="86" customFormat="false" ht="15" hidden="false" customHeight="false" outlineLevel="0" collapsed="false">
      <c r="B86" s="54" t="s">
        <v>280</v>
      </c>
      <c r="C86" s="55" t="s">
        <v>281</v>
      </c>
      <c r="D86" s="56" t="s">
        <v>282</v>
      </c>
      <c r="E86" s="57" t="n">
        <v>3</v>
      </c>
      <c r="F86" s="56" t="s">
        <v>116</v>
      </c>
      <c r="G86" s="58" t="n">
        <v>650</v>
      </c>
      <c r="H86" s="59" t="n">
        <f aca="false">E86*G86</f>
        <v>1950</v>
      </c>
      <c r="I86" s="59" t="n">
        <f aca="false">H86/(1-Summary!$G$11)</f>
        <v>3250</v>
      </c>
    </row>
    <row r="87" customFormat="false" ht="15" hidden="false" customHeight="false" outlineLevel="0" collapsed="false">
      <c r="B87" s="54" t="s">
        <v>283</v>
      </c>
      <c r="C87" s="55" t="s">
        <v>284</v>
      </c>
      <c r="D87" s="56" t="s">
        <v>285</v>
      </c>
      <c r="E87" s="57" t="n">
        <v>3</v>
      </c>
      <c r="F87" s="56" t="s">
        <v>116</v>
      </c>
      <c r="G87" s="58" t="n">
        <v>350</v>
      </c>
      <c r="H87" s="59" t="n">
        <f aca="false">E87*G87</f>
        <v>1050</v>
      </c>
      <c r="I87" s="59" t="n">
        <f aca="false">H87/(1-Summary!$G$11)</f>
        <v>1750</v>
      </c>
    </row>
    <row r="88" customFormat="false" ht="15" hidden="false" customHeight="false" outlineLevel="0" collapsed="false">
      <c r="B88" s="54" t="s">
        <v>286</v>
      </c>
      <c r="C88" s="55" t="s">
        <v>287</v>
      </c>
      <c r="D88" s="56" t="s">
        <v>288</v>
      </c>
      <c r="E88" s="57" t="n">
        <v>1</v>
      </c>
      <c r="F88" s="56" t="s">
        <v>116</v>
      </c>
      <c r="G88" s="58" t="n">
        <v>3500</v>
      </c>
      <c r="H88" s="59" t="n">
        <f aca="false">E88*G88</f>
        <v>3500</v>
      </c>
      <c r="I88" s="59" t="n">
        <f aca="false">H88/(1-Summary!$G$11)</f>
        <v>5833.33333333333</v>
      </c>
    </row>
    <row r="89" customFormat="false" ht="15" hidden="false" customHeight="false" outlineLevel="0" collapsed="false">
      <c r="B89" s="60"/>
      <c r="C89" s="61" t="s">
        <v>289</v>
      </c>
      <c r="D89" s="60"/>
      <c r="E89" s="60"/>
      <c r="F89" s="60"/>
      <c r="G89" s="60"/>
      <c r="H89" s="62" t="n">
        <f aca="false">SUM(H83:H88)</f>
        <v>32984</v>
      </c>
      <c r="I89" s="62" t="n">
        <f aca="false">SUM(I83:I88)</f>
        <v>54973.3333333333</v>
      </c>
    </row>
    <row r="91" customFormat="false" ht="15" hidden="false" customHeight="false" outlineLevel="0" collapsed="false">
      <c r="B91" s="53" t="s">
        <v>290</v>
      </c>
      <c r="C91" s="53"/>
      <c r="D91" s="53"/>
      <c r="E91" s="53"/>
      <c r="F91" s="53"/>
      <c r="G91" s="53"/>
      <c r="H91" s="53"/>
      <c r="I91" s="53"/>
    </row>
    <row r="92" customFormat="false" ht="22.35" hidden="false" customHeight="false" outlineLevel="0" collapsed="false">
      <c r="B92" s="54" t="s">
        <v>291</v>
      </c>
      <c r="C92" s="55" t="s">
        <v>292</v>
      </c>
      <c r="D92" s="56" t="s">
        <v>293</v>
      </c>
      <c r="E92" s="57" t="n">
        <v>2200</v>
      </c>
      <c r="F92" s="56" t="s">
        <v>184</v>
      </c>
      <c r="G92" s="58" t="n">
        <v>45</v>
      </c>
      <c r="H92" s="59" t="n">
        <f aca="false">E92*G92</f>
        <v>99000</v>
      </c>
      <c r="I92" s="59" t="n">
        <f aca="false">H92/(1-Summary!$G$11)</f>
        <v>165000</v>
      </c>
    </row>
    <row r="93" customFormat="false" ht="15" hidden="false" customHeight="false" outlineLevel="0" collapsed="false">
      <c r="B93" s="54" t="s">
        <v>294</v>
      </c>
      <c r="C93" s="55" t="s">
        <v>295</v>
      </c>
      <c r="D93" s="56" t="s">
        <v>296</v>
      </c>
      <c r="E93" s="57" t="n">
        <v>1850</v>
      </c>
      <c r="F93" s="56" t="s">
        <v>184</v>
      </c>
      <c r="G93" s="58" t="n">
        <v>28</v>
      </c>
      <c r="H93" s="59" t="n">
        <f aca="false">E93*G93</f>
        <v>51800</v>
      </c>
      <c r="I93" s="59" t="n">
        <f aca="false">H93/(1-Summary!$G$11)</f>
        <v>86333.3333333333</v>
      </c>
    </row>
    <row r="94" customFormat="false" ht="15" hidden="false" customHeight="false" outlineLevel="0" collapsed="false">
      <c r="B94" s="54" t="s">
        <v>297</v>
      </c>
      <c r="C94" s="55" t="s">
        <v>298</v>
      </c>
      <c r="D94" s="56" t="s">
        <v>299</v>
      </c>
      <c r="E94" s="57" t="n">
        <v>2200</v>
      </c>
      <c r="F94" s="56" t="s">
        <v>184</v>
      </c>
      <c r="G94" s="58" t="n">
        <v>3.5</v>
      </c>
      <c r="H94" s="59" t="n">
        <f aca="false">E94*G94</f>
        <v>7700</v>
      </c>
      <c r="I94" s="59" t="n">
        <f aca="false">H94/(1-Summary!$G$11)</f>
        <v>12833.3333333333</v>
      </c>
    </row>
    <row r="95" customFormat="false" ht="15" hidden="false" customHeight="false" outlineLevel="0" collapsed="false">
      <c r="B95" s="54" t="s">
        <v>300</v>
      </c>
      <c r="C95" s="55" t="s">
        <v>301</v>
      </c>
      <c r="D95" s="56" t="s">
        <v>302</v>
      </c>
      <c r="E95" s="57" t="n">
        <v>370</v>
      </c>
      <c r="F95" s="56" t="s">
        <v>135</v>
      </c>
      <c r="G95" s="58" t="n">
        <v>12</v>
      </c>
      <c r="H95" s="59" t="n">
        <f aca="false">E95*G95</f>
        <v>4440</v>
      </c>
      <c r="I95" s="59" t="n">
        <f aca="false">H95/(1-Summary!$G$11)</f>
        <v>7400</v>
      </c>
    </row>
    <row r="96" customFormat="false" ht="15" hidden="false" customHeight="false" outlineLevel="0" collapsed="false">
      <c r="B96" s="60"/>
      <c r="C96" s="61" t="s">
        <v>303</v>
      </c>
      <c r="D96" s="60"/>
      <c r="E96" s="60"/>
      <c r="F96" s="60"/>
      <c r="G96" s="60"/>
      <c r="H96" s="62" t="n">
        <f aca="false">SUM(H92:H95)</f>
        <v>162940</v>
      </c>
      <c r="I96" s="62" t="n">
        <f aca="false">SUM(I92:I95)</f>
        <v>271566.666666667</v>
      </c>
    </row>
    <row r="98" customFormat="false" ht="15" hidden="false" customHeight="false" outlineLevel="0" collapsed="false">
      <c r="B98" s="53" t="s">
        <v>304</v>
      </c>
      <c r="C98" s="53"/>
      <c r="D98" s="53"/>
      <c r="E98" s="53"/>
      <c r="F98" s="53"/>
      <c r="G98" s="53"/>
      <c r="H98" s="53"/>
      <c r="I98" s="53"/>
    </row>
    <row r="99" customFormat="false" ht="22.35" hidden="false" customHeight="false" outlineLevel="0" collapsed="false">
      <c r="B99" s="54" t="s">
        <v>305</v>
      </c>
      <c r="C99" s="55" t="s">
        <v>306</v>
      </c>
      <c r="D99" s="56" t="s">
        <v>307</v>
      </c>
      <c r="E99" s="57" t="n">
        <v>100</v>
      </c>
      <c r="F99" s="56" t="s">
        <v>135</v>
      </c>
      <c r="G99" s="58" t="n">
        <v>85</v>
      </c>
      <c r="H99" s="59" t="n">
        <f aca="false">E99*G99</f>
        <v>8500</v>
      </c>
      <c r="I99" s="59" t="n">
        <f aca="false">H99/(1-Summary!$G$11)</f>
        <v>14166.6666666667</v>
      </c>
    </row>
    <row r="100" customFormat="false" ht="22.35" hidden="false" customHeight="false" outlineLevel="0" collapsed="false">
      <c r="B100" s="54" t="s">
        <v>308</v>
      </c>
      <c r="C100" s="55" t="s">
        <v>309</v>
      </c>
      <c r="D100" s="56" t="s">
        <v>310</v>
      </c>
      <c r="E100" s="57" t="n">
        <v>1</v>
      </c>
      <c r="F100" s="56" t="s">
        <v>97</v>
      </c>
      <c r="G100" s="58" t="n">
        <v>18000</v>
      </c>
      <c r="H100" s="59" t="n">
        <f aca="false">E100*G100</f>
        <v>18000</v>
      </c>
      <c r="I100" s="59" t="n">
        <f aca="false">H100/(1-Summary!$G$11)</f>
        <v>30000</v>
      </c>
    </row>
    <row r="101" customFormat="false" ht="15" hidden="false" customHeight="false" outlineLevel="0" collapsed="false">
      <c r="B101" s="60"/>
      <c r="C101" s="61" t="s">
        <v>311</v>
      </c>
      <c r="D101" s="60"/>
      <c r="E101" s="60"/>
      <c r="F101" s="60"/>
      <c r="G101" s="60"/>
      <c r="H101" s="62" t="n">
        <f aca="false">SUM(H99:H100)</f>
        <v>26500</v>
      </c>
      <c r="I101" s="62" t="n">
        <f aca="false">SUM(I99:I100)</f>
        <v>44166.6666666667</v>
      </c>
    </row>
    <row r="103" customFormat="false" ht="15" hidden="false" customHeight="false" outlineLevel="0" collapsed="false">
      <c r="B103" s="53" t="s">
        <v>312</v>
      </c>
      <c r="C103" s="53"/>
      <c r="D103" s="53"/>
      <c r="E103" s="53"/>
      <c r="F103" s="53"/>
      <c r="G103" s="53"/>
      <c r="H103" s="53"/>
      <c r="I103" s="53"/>
    </row>
    <row r="104" customFormat="false" ht="15" hidden="false" customHeight="false" outlineLevel="0" collapsed="false">
      <c r="B104" s="54" t="s">
        <v>313</v>
      </c>
      <c r="C104" s="55" t="s">
        <v>314</v>
      </c>
      <c r="D104" s="56" t="s">
        <v>315</v>
      </c>
      <c r="E104" s="57" t="n">
        <v>1</v>
      </c>
      <c r="F104" s="56" t="s">
        <v>97</v>
      </c>
      <c r="G104" s="58" t="n">
        <v>6500</v>
      </c>
      <c r="H104" s="59" t="n">
        <f aca="false">E104*G104</f>
        <v>6500</v>
      </c>
      <c r="I104" s="59" t="n">
        <f aca="false">H104/(1-Summary!$G$11)</f>
        <v>10833.3333333333</v>
      </c>
    </row>
    <row r="105" customFormat="false" ht="15" hidden="false" customHeight="false" outlineLevel="0" collapsed="false">
      <c r="B105" s="54" t="s">
        <v>316</v>
      </c>
      <c r="C105" s="55" t="s">
        <v>317</v>
      </c>
      <c r="D105" s="56" t="s">
        <v>318</v>
      </c>
      <c r="E105" s="57" t="n">
        <v>1</v>
      </c>
      <c r="F105" s="56" t="s">
        <v>97</v>
      </c>
      <c r="G105" s="58" t="n">
        <v>22000</v>
      </c>
      <c r="H105" s="59" t="n">
        <f aca="false">E105*G105</f>
        <v>22000</v>
      </c>
      <c r="I105" s="59" t="n">
        <f aca="false">H105/(1-Summary!$G$11)</f>
        <v>36666.6666666667</v>
      </c>
    </row>
    <row r="106" customFormat="false" ht="15" hidden="false" customHeight="false" outlineLevel="0" collapsed="false">
      <c r="B106" s="60"/>
      <c r="C106" s="61" t="s">
        <v>319</v>
      </c>
      <c r="D106" s="60"/>
      <c r="E106" s="60"/>
      <c r="F106" s="60"/>
      <c r="G106" s="60"/>
      <c r="H106" s="62" t="n">
        <f aca="false">SUM(H104:H105)</f>
        <v>28500</v>
      </c>
      <c r="I106" s="62" t="n">
        <f aca="false">SUM(I104:I105)</f>
        <v>47500</v>
      </c>
    </row>
    <row r="108" customFormat="false" ht="15" hidden="false" customHeight="false" outlineLevel="0" collapsed="false">
      <c r="B108" s="53" t="s">
        <v>320</v>
      </c>
      <c r="C108" s="53"/>
      <c r="D108" s="53"/>
      <c r="E108" s="53"/>
      <c r="F108" s="53"/>
      <c r="G108" s="53"/>
      <c r="H108" s="53"/>
      <c r="I108" s="53"/>
    </row>
    <row r="109" customFormat="false" ht="15" hidden="false" customHeight="false" outlineLevel="0" collapsed="false">
      <c r="B109" s="54" t="s">
        <v>321</v>
      </c>
      <c r="C109" s="55" t="s">
        <v>322</v>
      </c>
      <c r="D109" s="56" t="s">
        <v>323</v>
      </c>
      <c r="E109" s="57" t="n">
        <v>50</v>
      </c>
      <c r="F109" s="56" t="s">
        <v>135</v>
      </c>
      <c r="G109" s="58" t="n">
        <v>65</v>
      </c>
      <c r="H109" s="59" t="n">
        <f aca="false">E109*G109</f>
        <v>3250</v>
      </c>
      <c r="I109" s="59" t="n">
        <f aca="false">H109/(1-Summary!$G$11)</f>
        <v>5416.66666666667</v>
      </c>
    </row>
    <row r="110" customFormat="false" ht="23.85" hidden="false" customHeight="false" outlineLevel="0" collapsed="false">
      <c r="B110" s="54" t="s">
        <v>324</v>
      </c>
      <c r="C110" s="55" t="s">
        <v>325</v>
      </c>
      <c r="D110" s="56" t="s">
        <v>326</v>
      </c>
      <c r="E110" s="57" t="n">
        <v>1</v>
      </c>
      <c r="F110" s="56" t="s">
        <v>97</v>
      </c>
      <c r="G110" s="58" t="n">
        <v>8500</v>
      </c>
      <c r="H110" s="59" t="n">
        <f aca="false">E110*G110</f>
        <v>8500</v>
      </c>
      <c r="I110" s="59" t="n">
        <f aca="false">H110/(1-Summary!$G$11)</f>
        <v>14166.6666666667</v>
      </c>
    </row>
    <row r="111" customFormat="false" ht="22.35" hidden="false" customHeight="false" outlineLevel="0" collapsed="false">
      <c r="B111" s="54" t="s">
        <v>327</v>
      </c>
      <c r="C111" s="55" t="s">
        <v>328</v>
      </c>
      <c r="D111" s="56" t="s">
        <v>329</v>
      </c>
      <c r="E111" s="57" t="n">
        <v>1</v>
      </c>
      <c r="F111" s="56" t="s">
        <v>97</v>
      </c>
      <c r="G111" s="58" t="n">
        <v>18000</v>
      </c>
      <c r="H111" s="59" t="n">
        <f aca="false">E111*G111</f>
        <v>18000</v>
      </c>
      <c r="I111" s="59" t="n">
        <f aca="false">H111/(1-Summary!$G$11)</f>
        <v>30000</v>
      </c>
    </row>
    <row r="112" customFormat="false" ht="15" hidden="false" customHeight="false" outlineLevel="0" collapsed="false">
      <c r="B112" s="54" t="s">
        <v>330</v>
      </c>
      <c r="C112" s="55" t="s">
        <v>331</v>
      </c>
      <c r="D112" s="56" t="s">
        <v>332</v>
      </c>
      <c r="E112" s="57" t="n">
        <v>200</v>
      </c>
      <c r="F112" s="56" t="s">
        <v>135</v>
      </c>
      <c r="G112" s="58" t="n">
        <v>18</v>
      </c>
      <c r="H112" s="59" t="n">
        <f aca="false">E112*G112</f>
        <v>3600</v>
      </c>
      <c r="I112" s="59" t="n">
        <f aca="false">H112/(1-Summary!$G$11)</f>
        <v>6000</v>
      </c>
    </row>
    <row r="113" customFormat="false" ht="15" hidden="false" customHeight="false" outlineLevel="0" collapsed="false">
      <c r="B113" s="60"/>
      <c r="C113" s="61" t="s">
        <v>333</v>
      </c>
      <c r="D113" s="60"/>
      <c r="E113" s="60"/>
      <c r="F113" s="60"/>
      <c r="G113" s="60"/>
      <c r="H113" s="62" t="n">
        <f aca="false">SUM(H109:H112)</f>
        <v>33350</v>
      </c>
      <c r="I113" s="62" t="n">
        <f aca="false">SUM(I109:I112)</f>
        <v>55583.3333333333</v>
      </c>
    </row>
    <row r="115" customFormat="false" ht="15" hidden="false" customHeight="false" outlineLevel="0" collapsed="false">
      <c r="B115" s="53" t="s">
        <v>334</v>
      </c>
      <c r="C115" s="53"/>
      <c r="D115" s="53"/>
      <c r="E115" s="53"/>
      <c r="F115" s="53"/>
      <c r="G115" s="53"/>
      <c r="H115" s="53"/>
      <c r="I115" s="53"/>
    </row>
    <row r="116" customFormat="false" ht="22.35" hidden="false" customHeight="false" outlineLevel="0" collapsed="false">
      <c r="B116" s="54" t="s">
        <v>335</v>
      </c>
      <c r="C116" s="55" t="s">
        <v>336</v>
      </c>
      <c r="D116" s="56" t="s">
        <v>337</v>
      </c>
      <c r="E116" s="57" t="n">
        <v>4510</v>
      </c>
      <c r="F116" s="56" t="s">
        <v>184</v>
      </c>
      <c r="G116" s="58" t="n">
        <v>2</v>
      </c>
      <c r="H116" s="59" t="n">
        <f aca="false">E116*G116</f>
        <v>9020</v>
      </c>
      <c r="I116" s="59" t="n">
        <f aca="false">H116/(1-Summary!$G$11)</f>
        <v>15033.3333333333</v>
      </c>
    </row>
    <row r="117" customFormat="false" ht="15" hidden="false" customHeight="false" outlineLevel="0" collapsed="false">
      <c r="B117" s="54" t="s">
        <v>338</v>
      </c>
      <c r="C117" s="55" t="s">
        <v>339</v>
      </c>
      <c r="D117" s="56" t="s">
        <v>340</v>
      </c>
      <c r="E117" s="57" t="n">
        <v>1470</v>
      </c>
      <c r="F117" s="56" t="s">
        <v>184</v>
      </c>
      <c r="G117" s="58" t="n">
        <v>2.25</v>
      </c>
      <c r="H117" s="59" t="n">
        <f aca="false">E117*G117</f>
        <v>3307.5</v>
      </c>
      <c r="I117" s="59" t="n">
        <f aca="false">H117/(1-Summary!$G$11)</f>
        <v>5512.5</v>
      </c>
    </row>
    <row r="118" customFormat="false" ht="15" hidden="false" customHeight="false" outlineLevel="0" collapsed="false">
      <c r="B118" s="54" t="s">
        <v>341</v>
      </c>
      <c r="C118" s="55" t="s">
        <v>342</v>
      </c>
      <c r="D118" s="56" t="s">
        <v>343</v>
      </c>
      <c r="E118" s="57" t="n">
        <v>500</v>
      </c>
      <c r="F118" s="56" t="s">
        <v>184</v>
      </c>
      <c r="G118" s="58" t="n">
        <v>14</v>
      </c>
      <c r="H118" s="59" t="n">
        <f aca="false">E118*G118</f>
        <v>7000</v>
      </c>
      <c r="I118" s="59" t="n">
        <f aca="false">H118/(1-Summary!$G$11)</f>
        <v>11666.6666666667</v>
      </c>
    </row>
    <row r="119" customFormat="false" ht="15" hidden="false" customHeight="false" outlineLevel="0" collapsed="false">
      <c r="B119" s="54" t="s">
        <v>344</v>
      </c>
      <c r="C119" s="55" t="s">
        <v>345</v>
      </c>
      <c r="D119" s="56" t="s">
        <v>346</v>
      </c>
      <c r="E119" s="57" t="n">
        <v>1</v>
      </c>
      <c r="F119" s="56" t="s">
        <v>97</v>
      </c>
      <c r="G119" s="58" t="n">
        <v>2800</v>
      </c>
      <c r="H119" s="59" t="n">
        <f aca="false">E119*G119</f>
        <v>2800</v>
      </c>
      <c r="I119" s="59" t="n">
        <f aca="false">H119/(1-Summary!$G$11)</f>
        <v>4666.66666666667</v>
      </c>
    </row>
    <row r="120" customFormat="false" ht="15" hidden="false" customHeight="false" outlineLevel="0" collapsed="false">
      <c r="B120" s="60"/>
      <c r="C120" s="61" t="s">
        <v>347</v>
      </c>
      <c r="D120" s="60"/>
      <c r="E120" s="60"/>
      <c r="F120" s="60"/>
      <c r="G120" s="60"/>
      <c r="H120" s="62" t="n">
        <f aca="false">SUM(H116:H119)</f>
        <v>22127.5</v>
      </c>
      <c r="I120" s="62" t="n">
        <f aca="false">SUM(I116:I119)</f>
        <v>36879.1666666667</v>
      </c>
    </row>
    <row r="122" customFormat="false" ht="15" hidden="false" customHeight="false" outlineLevel="0" collapsed="false">
      <c r="B122" s="53" t="s">
        <v>348</v>
      </c>
      <c r="C122" s="53"/>
      <c r="D122" s="53"/>
      <c r="E122" s="53"/>
      <c r="F122" s="53"/>
      <c r="G122" s="53"/>
      <c r="H122" s="53"/>
      <c r="I122" s="53"/>
    </row>
    <row r="123" customFormat="false" ht="22.35" hidden="false" customHeight="false" outlineLevel="0" collapsed="false">
      <c r="B123" s="54" t="s">
        <v>349</v>
      </c>
      <c r="C123" s="55" t="s">
        <v>350</v>
      </c>
      <c r="D123" s="56" t="s">
        <v>351</v>
      </c>
      <c r="E123" s="57" t="n">
        <v>3478</v>
      </c>
      <c r="F123" s="56" t="s">
        <v>184</v>
      </c>
      <c r="G123" s="58" t="n">
        <v>14</v>
      </c>
      <c r="H123" s="59" t="n">
        <f aca="false">E123*G123</f>
        <v>48692</v>
      </c>
      <c r="I123" s="59" t="n">
        <f aca="false">H123/(1-Summary!$G$11)</f>
        <v>81153.3333333333</v>
      </c>
    </row>
    <row r="124" customFormat="false" ht="15" hidden="false" customHeight="false" outlineLevel="0" collapsed="false">
      <c r="B124" s="60"/>
      <c r="C124" s="61" t="s">
        <v>352</v>
      </c>
      <c r="D124" s="60"/>
      <c r="E124" s="60"/>
      <c r="F124" s="60"/>
      <c r="G124" s="60"/>
      <c r="H124" s="62" t="n">
        <f aca="false">SUM(H123:H123)</f>
        <v>48692</v>
      </c>
      <c r="I124" s="62" t="n">
        <f aca="false">SUM(I123:I123)</f>
        <v>81153.3333333333</v>
      </c>
    </row>
    <row r="126" customFormat="false" ht="15" hidden="false" customHeight="false" outlineLevel="0" collapsed="false">
      <c r="B126" s="53" t="s">
        <v>353</v>
      </c>
      <c r="C126" s="53"/>
      <c r="D126" s="53"/>
      <c r="E126" s="53"/>
      <c r="F126" s="53"/>
      <c r="G126" s="53"/>
      <c r="H126" s="53"/>
      <c r="I126" s="53"/>
    </row>
    <row r="127" customFormat="false" ht="23.85" hidden="false" customHeight="false" outlineLevel="0" collapsed="false">
      <c r="B127" s="54" t="s">
        <v>354</v>
      </c>
      <c r="C127" s="55" t="s">
        <v>355</v>
      </c>
      <c r="D127" s="56" t="s">
        <v>356</v>
      </c>
      <c r="E127" s="57" t="n">
        <v>1</v>
      </c>
      <c r="F127" s="56" t="s">
        <v>97</v>
      </c>
      <c r="G127" s="58" t="n">
        <v>4500</v>
      </c>
      <c r="H127" s="59" t="n">
        <f aca="false">E127*G127</f>
        <v>4500</v>
      </c>
      <c r="I127" s="59" t="n">
        <f aca="false">H127/(1-Summary!$G$11)</f>
        <v>7500</v>
      </c>
    </row>
    <row r="128" customFormat="false" ht="15" hidden="false" customHeight="false" outlineLevel="0" collapsed="false">
      <c r="B128" s="54" t="s">
        <v>357</v>
      </c>
      <c r="C128" s="55" t="s">
        <v>358</v>
      </c>
      <c r="D128" s="56" t="s">
        <v>359</v>
      </c>
      <c r="E128" s="57" t="n">
        <v>1</v>
      </c>
      <c r="F128" s="56" t="s">
        <v>97</v>
      </c>
      <c r="G128" s="58" t="n">
        <v>5500</v>
      </c>
      <c r="H128" s="59" t="n">
        <f aca="false">E128*G128</f>
        <v>5500</v>
      </c>
      <c r="I128" s="59" t="n">
        <f aca="false">H128/(1-Summary!$G$11)</f>
        <v>9166.66666666667</v>
      </c>
    </row>
    <row r="129" customFormat="false" ht="15" hidden="false" customHeight="false" outlineLevel="0" collapsed="false">
      <c r="B129" s="54" t="s">
        <v>360</v>
      </c>
      <c r="C129" s="55" t="s">
        <v>361</v>
      </c>
      <c r="D129" s="56" t="s">
        <v>362</v>
      </c>
      <c r="E129" s="57" t="n">
        <v>1</v>
      </c>
      <c r="F129" s="56" t="s">
        <v>97</v>
      </c>
      <c r="G129" s="58" t="n">
        <v>500</v>
      </c>
      <c r="H129" s="59" t="n">
        <f aca="false">E129*G129</f>
        <v>500</v>
      </c>
      <c r="I129" s="59" t="n">
        <f aca="false">H129/(1-Summary!$G$11)</f>
        <v>833.333333333333</v>
      </c>
    </row>
    <row r="130" customFormat="false" ht="15" hidden="false" customHeight="false" outlineLevel="0" collapsed="false">
      <c r="B130" s="54" t="s">
        <v>363</v>
      </c>
      <c r="C130" s="55" t="s">
        <v>364</v>
      </c>
      <c r="D130" s="56" t="s">
        <v>365</v>
      </c>
      <c r="E130" s="57" t="n">
        <v>1</v>
      </c>
      <c r="F130" s="56" t="s">
        <v>97</v>
      </c>
      <c r="G130" s="58" t="n">
        <v>250</v>
      </c>
      <c r="H130" s="59" t="n">
        <f aca="false">E130*G130</f>
        <v>250</v>
      </c>
      <c r="I130" s="59" t="n">
        <f aca="false">H130/(1-Summary!$G$11)</f>
        <v>416.666666666667</v>
      </c>
    </row>
    <row r="131" customFormat="false" ht="15" hidden="false" customHeight="false" outlineLevel="0" collapsed="false">
      <c r="B131" s="60"/>
      <c r="C131" s="61" t="s">
        <v>366</v>
      </c>
      <c r="D131" s="60"/>
      <c r="E131" s="60"/>
      <c r="F131" s="60"/>
      <c r="G131" s="60"/>
      <c r="H131" s="62" t="n">
        <f aca="false">SUM(H127:H130)</f>
        <v>10750</v>
      </c>
      <c r="I131" s="62" t="n">
        <f aca="false">SUM(I127:I130)</f>
        <v>17916.6666666667</v>
      </c>
    </row>
    <row r="133" customFormat="false" ht="30" hidden="false" customHeight="true" outlineLevel="0" collapsed="false">
      <c r="B133" s="21" t="s">
        <v>87</v>
      </c>
      <c r="C133" s="21" t="s">
        <v>88</v>
      </c>
      <c r="D133" s="21" t="s">
        <v>89</v>
      </c>
      <c r="E133" s="21" t="s">
        <v>90</v>
      </c>
      <c r="F133" s="21" t="s">
        <v>91</v>
      </c>
      <c r="G133" s="21" t="s">
        <v>92</v>
      </c>
      <c r="H133" s="21" t="s">
        <v>29</v>
      </c>
      <c r="I133" s="21" t="s">
        <v>30</v>
      </c>
    </row>
    <row r="134" customFormat="false" ht="15" hidden="false" customHeight="false" outlineLevel="0" collapsed="false">
      <c r="B134" s="53" t="s">
        <v>367</v>
      </c>
      <c r="C134" s="53"/>
      <c r="D134" s="53"/>
      <c r="E134" s="53"/>
      <c r="F134" s="53"/>
      <c r="G134" s="53"/>
      <c r="H134" s="53"/>
      <c r="I134" s="53"/>
    </row>
    <row r="135" customFormat="false" ht="22.35" hidden="false" customHeight="false" outlineLevel="0" collapsed="false">
      <c r="B135" s="54" t="s">
        <v>368</v>
      </c>
      <c r="C135" s="55" t="s">
        <v>369</v>
      </c>
      <c r="D135" s="56" t="s">
        <v>370</v>
      </c>
      <c r="E135" s="57" t="n">
        <v>1</v>
      </c>
      <c r="F135" s="56" t="s">
        <v>97</v>
      </c>
      <c r="G135" s="58" t="n">
        <v>12000</v>
      </c>
      <c r="H135" s="59" t="n">
        <f aca="false">E135*G135</f>
        <v>12000</v>
      </c>
      <c r="I135" s="59" t="n">
        <f aca="false">H135</f>
        <v>12000</v>
      </c>
    </row>
    <row r="136" customFormat="false" ht="22.35" hidden="false" customHeight="false" outlineLevel="0" collapsed="false">
      <c r="B136" s="54" t="s">
        <v>371</v>
      </c>
      <c r="C136" s="55" t="s">
        <v>372</v>
      </c>
      <c r="D136" s="56" t="s">
        <v>373</v>
      </c>
      <c r="E136" s="57" t="n">
        <v>1</v>
      </c>
      <c r="F136" s="56" t="s">
        <v>97</v>
      </c>
      <c r="G136" s="58" t="n">
        <v>45000</v>
      </c>
      <c r="H136" s="59" t="n">
        <f aca="false">E136*G136</f>
        <v>45000</v>
      </c>
      <c r="I136" s="59" t="n">
        <f aca="false">H136</f>
        <v>45000</v>
      </c>
    </row>
    <row r="137" customFormat="false" ht="22.35" hidden="false" customHeight="false" outlineLevel="0" collapsed="false">
      <c r="B137" s="54" t="s">
        <v>374</v>
      </c>
      <c r="C137" s="55" t="s">
        <v>375</v>
      </c>
      <c r="D137" s="56" t="s">
        <v>376</v>
      </c>
      <c r="E137" s="57" t="n">
        <v>1</v>
      </c>
      <c r="F137" s="56" t="s">
        <v>97</v>
      </c>
      <c r="G137" s="58" t="n">
        <v>15000</v>
      </c>
      <c r="H137" s="59" t="n">
        <f aca="false">E137*G137</f>
        <v>15000</v>
      </c>
      <c r="I137" s="59" t="n">
        <f aca="false">H137</f>
        <v>15000</v>
      </c>
    </row>
    <row r="138" customFormat="false" ht="15" hidden="false" customHeight="false" outlineLevel="0" collapsed="false">
      <c r="B138" s="60"/>
      <c r="C138" s="61" t="s">
        <v>377</v>
      </c>
      <c r="D138" s="60"/>
      <c r="E138" s="60"/>
      <c r="F138" s="60"/>
      <c r="G138" s="60"/>
      <c r="H138" s="62" t="n">
        <f aca="false">SUM(H135:H137)</f>
        <v>72000</v>
      </c>
      <c r="I138" s="62" t="n">
        <f aca="false">SUM(I135:I137)</f>
        <v>72000</v>
      </c>
    </row>
  </sheetData>
  <mergeCells count="19">
    <mergeCell ref="B1:I1"/>
    <mergeCell ref="B2:I2"/>
    <mergeCell ref="B5:I5"/>
    <mergeCell ref="B17:I17"/>
    <mergeCell ref="B36:I36"/>
    <mergeCell ref="B42:I42"/>
    <mergeCell ref="B49:I49"/>
    <mergeCell ref="B59:I59"/>
    <mergeCell ref="B65:I65"/>
    <mergeCell ref="B73:I73"/>
    <mergeCell ref="B82:I82"/>
    <mergeCell ref="B91:I91"/>
    <mergeCell ref="B98:I98"/>
    <mergeCell ref="B103:I103"/>
    <mergeCell ref="B108:I108"/>
    <mergeCell ref="B115:I115"/>
    <mergeCell ref="B122:I122"/>
    <mergeCell ref="B126:I126"/>
    <mergeCell ref="B134:I13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33.75" hidden="false" customHeight="true" outlineLevel="0" collapsed="false">
      <c r="A1" s="1"/>
      <c r="B1" s="2" t="s">
        <v>378</v>
      </c>
      <c r="C1" s="2"/>
      <c r="D1" s="2"/>
      <c r="E1" s="2"/>
      <c r="F1" s="2"/>
      <c r="G1" s="2"/>
      <c r="H1" s="2"/>
      <c r="I1" s="2"/>
      <c r="J1" s="1"/>
    </row>
    <row r="2" customFormat="false" ht="19.5" hidden="false" customHeight="true" outlineLevel="0" collapsed="false">
      <c r="A2" s="1"/>
      <c r="B2" s="3" t="s">
        <v>379</v>
      </c>
      <c r="C2" s="3"/>
      <c r="D2" s="3"/>
      <c r="E2" s="3"/>
      <c r="F2" s="3"/>
      <c r="G2" s="3"/>
      <c r="H2" s="3"/>
      <c r="I2" s="3"/>
      <c r="J2" s="1"/>
    </row>
    <row r="4" customFormat="false" ht="19.5" hidden="false" customHeight="true" outlineLevel="0" collapsed="false">
      <c r="B4" s="10" t="s">
        <v>380</v>
      </c>
      <c r="C4" s="10"/>
      <c r="D4" s="10"/>
      <c r="E4" s="10"/>
      <c r="F4" s="10"/>
      <c r="G4" s="10"/>
      <c r="H4" s="10"/>
      <c r="I4" s="10"/>
    </row>
    <row r="5" customFormat="false" ht="30" hidden="false" customHeight="true" outlineLevel="0" collapsed="false">
      <c r="C5" s="63" t="s">
        <v>28</v>
      </c>
      <c r="D5" s="63"/>
      <c r="E5" s="63"/>
      <c r="F5" s="63"/>
      <c r="G5" s="63"/>
      <c r="H5" s="21" t="s">
        <v>29</v>
      </c>
      <c r="I5" s="21" t="s">
        <v>30</v>
      </c>
    </row>
    <row r="6" customFormat="false" ht="15" hidden="false" customHeight="false" outlineLevel="0" collapsed="false">
      <c r="C6" s="23" t="s">
        <v>381</v>
      </c>
      <c r="D6" s="23"/>
      <c r="E6" s="23"/>
      <c r="F6" s="23"/>
      <c r="G6" s="23"/>
      <c r="H6" s="24" t="n">
        <f aca="false">'Turnkey Option'!$H$28</f>
        <v>19000</v>
      </c>
      <c r="I6" s="24" t="n">
        <f aca="false">'Turnkey Option'!$I$28</f>
        <v>31666.6666666667</v>
      </c>
    </row>
    <row r="7" customFormat="false" ht="15" hidden="false" customHeight="false" outlineLevel="0" collapsed="false">
      <c r="C7" s="28" t="s">
        <v>382</v>
      </c>
      <c r="D7" s="28"/>
      <c r="E7" s="28"/>
      <c r="F7" s="28"/>
      <c r="G7" s="28"/>
      <c r="H7" s="29" t="n">
        <f aca="false">'Turnkey Option'!$H$33</f>
        <v>14650</v>
      </c>
      <c r="I7" s="29" t="n">
        <f aca="false">'Turnkey Option'!$I$33</f>
        <v>24416.6666666667</v>
      </c>
    </row>
    <row r="8" customFormat="false" ht="15" hidden="false" customHeight="false" outlineLevel="0" collapsed="false">
      <c r="C8" s="23" t="s">
        <v>383</v>
      </c>
      <c r="D8" s="23"/>
      <c r="E8" s="23"/>
      <c r="F8" s="23"/>
      <c r="G8" s="23"/>
      <c r="H8" s="24" t="n">
        <f aca="false">'Turnkey Option'!$H$40</f>
        <v>35590</v>
      </c>
      <c r="I8" s="24" t="n">
        <f aca="false">'Turnkey Option'!$I$40</f>
        <v>59316.6666666667</v>
      </c>
    </row>
    <row r="9" customFormat="false" ht="15" hidden="false" customHeight="false" outlineLevel="0" collapsed="false">
      <c r="C9" s="28" t="s">
        <v>384</v>
      </c>
      <c r="D9" s="28"/>
      <c r="E9" s="28"/>
      <c r="F9" s="28"/>
      <c r="G9" s="28"/>
      <c r="H9" s="29" t="n">
        <f aca="false">'Turnkey Option'!$H$50</f>
        <v>34354.5</v>
      </c>
      <c r="I9" s="29" t="n">
        <f aca="false">'Turnkey Option'!$I$50</f>
        <v>57257.5</v>
      </c>
    </row>
    <row r="10" customFormat="false" ht="15" hidden="false" customHeight="false" outlineLevel="0" collapsed="false">
      <c r="C10" s="23" t="s">
        <v>385</v>
      </c>
      <c r="D10" s="23"/>
      <c r="E10" s="23"/>
      <c r="F10" s="23"/>
      <c r="G10" s="23"/>
      <c r="H10" s="24" t="n">
        <f aca="false">'Turnkey Option'!$H$55</f>
        <v>9080</v>
      </c>
      <c r="I10" s="24" t="n">
        <f aca="false">'Turnkey Option'!$I$55</f>
        <v>15133.3333333333</v>
      </c>
    </row>
    <row r="11" customFormat="false" ht="15" hidden="false" customHeight="false" outlineLevel="0" collapsed="false">
      <c r="C11" s="28" t="s">
        <v>386</v>
      </c>
      <c r="D11" s="28"/>
      <c r="E11" s="28"/>
      <c r="F11" s="28"/>
      <c r="G11" s="28"/>
      <c r="H11" s="29" t="n">
        <f aca="false">'Turnkey Option'!$H$62</f>
        <v>21375</v>
      </c>
      <c r="I11" s="29" t="n">
        <f aca="false">'Turnkey Option'!$I$62</f>
        <v>35625</v>
      </c>
    </row>
    <row r="12" customFormat="false" ht="15" hidden="false" customHeight="false" outlineLevel="0" collapsed="false">
      <c r="C12" s="23" t="s">
        <v>387</v>
      </c>
      <c r="D12" s="23"/>
      <c r="E12" s="23"/>
      <c r="F12" s="23"/>
      <c r="G12" s="23"/>
      <c r="H12" s="24" t="n">
        <f aca="false">'Turnkey Option'!$H$73</f>
        <v>30330</v>
      </c>
      <c r="I12" s="24" t="n">
        <f aca="false">'Turnkey Option'!$I$73</f>
        <v>50550</v>
      </c>
    </row>
    <row r="13" customFormat="false" ht="15" hidden="false" customHeight="false" outlineLevel="0" collapsed="false">
      <c r="C13" s="28" t="s">
        <v>388</v>
      </c>
      <c r="D13" s="28"/>
      <c r="E13" s="28"/>
      <c r="F13" s="28"/>
      <c r="G13" s="28"/>
      <c r="H13" s="29" t="n">
        <f aca="false">'Turnkey Option'!$H$82</f>
        <v>25835</v>
      </c>
      <c r="I13" s="29" t="n">
        <f aca="false">'Turnkey Option'!$I$82</f>
        <v>43058.3333333333</v>
      </c>
    </row>
    <row r="14" customFormat="false" ht="15" hidden="false" customHeight="false" outlineLevel="0" collapsed="false">
      <c r="C14" s="23" t="s">
        <v>389</v>
      </c>
      <c r="D14" s="23"/>
      <c r="E14" s="23"/>
      <c r="F14" s="23"/>
      <c r="G14" s="23"/>
      <c r="H14" s="24" t="n">
        <f aca="false">'Turnkey Option'!$H$96</f>
        <v>84650</v>
      </c>
      <c r="I14" s="24" t="n">
        <f aca="false">'Turnkey Option'!$I$96</f>
        <v>141083.333333333</v>
      </c>
    </row>
    <row r="15" customFormat="false" ht="15" hidden="false" customHeight="false" outlineLevel="0" collapsed="false">
      <c r="C15" s="64" t="s">
        <v>390</v>
      </c>
      <c r="D15" s="64"/>
      <c r="E15" s="64"/>
      <c r="F15" s="64"/>
      <c r="G15" s="64"/>
      <c r="H15" s="65" t="n">
        <f aca="false">SUM(H6:H14)</f>
        <v>274864.5</v>
      </c>
      <c r="I15" s="65" t="n">
        <f aca="false">SUM(I6:I14)</f>
        <v>458107.5</v>
      </c>
    </row>
    <row r="16" customFormat="false" ht="15" hidden="false" customHeight="false" outlineLevel="0" collapsed="false">
      <c r="C16" s="64" t="s">
        <v>391</v>
      </c>
      <c r="D16" s="64"/>
      <c r="E16" s="64"/>
      <c r="F16" s="64"/>
      <c r="G16" s="64"/>
      <c r="H16" s="65" t="n">
        <f aca="false">Summary!D37</f>
        <v>1084498.725</v>
      </c>
      <c r="I16" s="65" t="n">
        <f aca="false">Summary!E37</f>
        <v>1759497.875</v>
      </c>
    </row>
    <row r="17" customFormat="false" ht="15" hidden="false" customHeight="false" outlineLevel="0" collapsed="false">
      <c r="C17" s="66" t="s">
        <v>392</v>
      </c>
      <c r="D17" s="66"/>
      <c r="E17" s="66"/>
      <c r="F17" s="66"/>
      <c r="G17" s="66"/>
      <c r="H17" s="67" t="n">
        <f aca="false">H15+H16</f>
        <v>1359363.225</v>
      </c>
      <c r="I17" s="67" t="n">
        <f aca="false">I15+I16</f>
        <v>2217605.375</v>
      </c>
    </row>
    <row r="18" customFormat="false" ht="15" hidden="false" customHeight="false" outlineLevel="0" collapsed="false">
      <c r="C18" s="68" t="s">
        <v>393</v>
      </c>
      <c r="D18" s="68"/>
      <c r="E18" s="68"/>
      <c r="F18" s="68"/>
      <c r="G18" s="68"/>
      <c r="I18" s="69" t="n">
        <f aca="false">I17/Summary!$D$12</f>
        <v>756.861902730375</v>
      </c>
    </row>
    <row r="22" customFormat="false" ht="30" hidden="false" customHeight="true" outlineLevel="0" collapsed="false">
      <c r="B22" s="21" t="s">
        <v>87</v>
      </c>
      <c r="C22" s="21" t="s">
        <v>88</v>
      </c>
      <c r="D22" s="21" t="s">
        <v>89</v>
      </c>
      <c r="E22" s="21" t="s">
        <v>90</v>
      </c>
      <c r="F22" s="21" t="s">
        <v>91</v>
      </c>
      <c r="G22" s="21" t="s">
        <v>92</v>
      </c>
      <c r="H22" s="21" t="s">
        <v>29</v>
      </c>
      <c r="I22" s="21" t="s">
        <v>30</v>
      </c>
    </row>
    <row r="23" customFormat="false" ht="15" hidden="false" customHeight="false" outlineLevel="0" collapsed="false">
      <c r="B23" s="53" t="s">
        <v>394</v>
      </c>
      <c r="C23" s="53"/>
      <c r="D23" s="53"/>
      <c r="E23" s="53"/>
      <c r="F23" s="53"/>
      <c r="G23" s="53"/>
      <c r="H23" s="53"/>
      <c r="I23" s="53"/>
    </row>
    <row r="24" customFormat="false" ht="15" hidden="false" customHeight="false" outlineLevel="0" collapsed="false">
      <c r="B24" s="54" t="s">
        <v>395</v>
      </c>
      <c r="C24" s="55" t="s">
        <v>396</v>
      </c>
      <c r="D24" s="56" t="s">
        <v>397</v>
      </c>
      <c r="E24" s="57" t="n">
        <v>1</v>
      </c>
      <c r="F24" s="56" t="s">
        <v>97</v>
      </c>
      <c r="G24" s="58" t="n">
        <v>4000</v>
      </c>
      <c r="H24" s="59" t="n">
        <f aca="false">E24*G24</f>
        <v>4000</v>
      </c>
      <c r="I24" s="59" t="n">
        <f aca="false">H24/(1-Summary!$G$11)</f>
        <v>6666.66666666667</v>
      </c>
    </row>
    <row r="25" customFormat="false" ht="23.85" hidden="false" customHeight="false" outlineLevel="0" collapsed="false">
      <c r="B25" s="54" t="s">
        <v>398</v>
      </c>
      <c r="C25" s="55" t="s">
        <v>399</v>
      </c>
      <c r="D25" s="56" t="s">
        <v>400</v>
      </c>
      <c r="E25" s="57" t="n">
        <v>1</v>
      </c>
      <c r="F25" s="56" t="s">
        <v>97</v>
      </c>
      <c r="G25" s="58" t="n">
        <v>2000</v>
      </c>
      <c r="H25" s="59" t="n">
        <f aca="false">E25*G25</f>
        <v>2000</v>
      </c>
      <c r="I25" s="59" t="n">
        <f aca="false">H25/(1-Summary!$G$11)</f>
        <v>3333.33333333333</v>
      </c>
    </row>
    <row r="26" customFormat="false" ht="23.85" hidden="false" customHeight="false" outlineLevel="0" collapsed="false">
      <c r="B26" s="54" t="s">
        <v>401</v>
      </c>
      <c r="C26" s="55" t="s">
        <v>402</v>
      </c>
      <c r="D26" s="56" t="s">
        <v>403</v>
      </c>
      <c r="E26" s="57" t="n">
        <v>1</v>
      </c>
      <c r="F26" s="56" t="s">
        <v>97</v>
      </c>
      <c r="G26" s="58" t="n">
        <v>6000</v>
      </c>
      <c r="H26" s="59" t="n">
        <f aca="false">E26*G26</f>
        <v>6000</v>
      </c>
      <c r="I26" s="59" t="n">
        <f aca="false">H26/(1-Summary!$G$11)</f>
        <v>10000</v>
      </c>
    </row>
    <row r="27" customFormat="false" ht="23.85" hidden="false" customHeight="false" outlineLevel="0" collapsed="false">
      <c r="B27" s="54" t="s">
        <v>404</v>
      </c>
      <c r="C27" s="55" t="s">
        <v>405</v>
      </c>
      <c r="D27" s="56" t="s">
        <v>406</v>
      </c>
      <c r="E27" s="57" t="n">
        <v>1</v>
      </c>
      <c r="F27" s="56" t="s">
        <v>97</v>
      </c>
      <c r="G27" s="58" t="n">
        <v>7000</v>
      </c>
      <c r="H27" s="59" t="n">
        <f aca="false">E27*G27</f>
        <v>7000</v>
      </c>
      <c r="I27" s="59" t="n">
        <f aca="false">H27/(1-Summary!$G$11)</f>
        <v>11666.6666666667</v>
      </c>
    </row>
    <row r="28" customFormat="false" ht="15" hidden="false" customHeight="false" outlineLevel="0" collapsed="false">
      <c r="B28" s="60"/>
      <c r="C28" s="61" t="s">
        <v>407</v>
      </c>
      <c r="D28" s="60"/>
      <c r="E28" s="60"/>
      <c r="F28" s="60"/>
      <c r="G28" s="60"/>
      <c r="H28" s="62" t="n">
        <f aca="false">SUM(H24:H27)</f>
        <v>19000</v>
      </c>
      <c r="I28" s="62" t="n">
        <f aca="false">SUM(I24:I27)</f>
        <v>31666.6666666667</v>
      </c>
    </row>
    <row r="30" customFormat="false" ht="15" hidden="false" customHeight="false" outlineLevel="0" collapsed="false">
      <c r="B30" s="53" t="s">
        <v>408</v>
      </c>
      <c r="C30" s="53"/>
      <c r="D30" s="53"/>
      <c r="E30" s="53"/>
      <c r="F30" s="53"/>
      <c r="G30" s="53"/>
      <c r="H30" s="53"/>
      <c r="I30" s="53"/>
    </row>
    <row r="31" customFormat="false" ht="15" hidden="false" customHeight="false" outlineLevel="0" collapsed="false">
      <c r="B31" s="54" t="s">
        <v>409</v>
      </c>
      <c r="C31" s="55" t="s">
        <v>410</v>
      </c>
      <c r="D31" s="56" t="s">
        <v>411</v>
      </c>
      <c r="E31" s="57" t="n">
        <v>2930</v>
      </c>
      <c r="F31" s="56" t="s">
        <v>184</v>
      </c>
      <c r="G31" s="58" t="n">
        <v>1.5</v>
      </c>
      <c r="H31" s="59" t="n">
        <f aca="false">E31*G31</f>
        <v>4395</v>
      </c>
      <c r="I31" s="59" t="n">
        <f aca="false">H31/(1-Summary!$G$11)</f>
        <v>7325</v>
      </c>
    </row>
    <row r="32" customFormat="false" ht="15" hidden="false" customHeight="false" outlineLevel="0" collapsed="false">
      <c r="B32" s="54" t="s">
        <v>412</v>
      </c>
      <c r="C32" s="55" t="s">
        <v>413</v>
      </c>
      <c r="D32" s="56" t="s">
        <v>414</v>
      </c>
      <c r="E32" s="57" t="n">
        <v>2930</v>
      </c>
      <c r="F32" s="56" t="s">
        <v>184</v>
      </c>
      <c r="G32" s="58" t="n">
        <v>3.5</v>
      </c>
      <c r="H32" s="59" t="n">
        <f aca="false">E32*G32</f>
        <v>10255</v>
      </c>
      <c r="I32" s="59" t="n">
        <f aca="false">H32/(1-Summary!$G$11)</f>
        <v>17091.6666666667</v>
      </c>
    </row>
    <row r="33" customFormat="false" ht="15" hidden="false" customHeight="false" outlineLevel="0" collapsed="false">
      <c r="B33" s="60"/>
      <c r="C33" s="61" t="s">
        <v>415</v>
      </c>
      <c r="D33" s="60"/>
      <c r="E33" s="60"/>
      <c r="F33" s="60"/>
      <c r="G33" s="60"/>
      <c r="H33" s="62" t="n">
        <f aca="false">SUM(H31:H32)</f>
        <v>14650</v>
      </c>
      <c r="I33" s="62" t="n">
        <f aca="false">SUM(I31:I32)</f>
        <v>24416.6666666667</v>
      </c>
    </row>
    <row r="35" customFormat="false" ht="15" hidden="false" customHeight="false" outlineLevel="0" collapsed="false">
      <c r="B35" s="53" t="s">
        <v>416</v>
      </c>
      <c r="C35" s="53"/>
      <c r="D35" s="53"/>
      <c r="E35" s="53"/>
      <c r="F35" s="53"/>
      <c r="G35" s="53"/>
      <c r="H35" s="53"/>
      <c r="I35" s="53"/>
    </row>
    <row r="36" customFormat="false" ht="15" hidden="false" customHeight="false" outlineLevel="0" collapsed="false">
      <c r="B36" s="54" t="s">
        <v>417</v>
      </c>
      <c r="C36" s="55" t="s">
        <v>418</v>
      </c>
      <c r="D36" s="56" t="s">
        <v>419</v>
      </c>
      <c r="E36" s="57" t="n">
        <v>22</v>
      </c>
      <c r="F36" s="56" t="s">
        <v>116</v>
      </c>
      <c r="G36" s="58" t="n">
        <v>650</v>
      </c>
      <c r="H36" s="59" t="n">
        <f aca="false">E36*G36</f>
        <v>14300</v>
      </c>
      <c r="I36" s="59" t="n">
        <f aca="false">H36/(1-Summary!$G$11)</f>
        <v>23833.3333333333</v>
      </c>
    </row>
    <row r="37" customFormat="false" ht="15" hidden="false" customHeight="false" outlineLevel="0" collapsed="false">
      <c r="B37" s="54" t="s">
        <v>420</v>
      </c>
      <c r="C37" s="55" t="s">
        <v>421</v>
      </c>
      <c r="D37" s="56" t="s">
        <v>422</v>
      </c>
      <c r="E37" s="57" t="n">
        <v>22</v>
      </c>
      <c r="F37" s="56" t="s">
        <v>116</v>
      </c>
      <c r="G37" s="58" t="n">
        <v>45</v>
      </c>
      <c r="H37" s="59" t="n">
        <f aca="false">E37*G37</f>
        <v>990</v>
      </c>
      <c r="I37" s="59" t="n">
        <f aca="false">H37/(1-Summary!$G$11)</f>
        <v>1650</v>
      </c>
    </row>
    <row r="38" customFormat="false" ht="15" hidden="false" customHeight="false" outlineLevel="0" collapsed="false">
      <c r="B38" s="54" t="s">
        <v>423</v>
      </c>
      <c r="C38" s="55" t="s">
        <v>424</v>
      </c>
      <c r="D38" s="56" t="s">
        <v>425</v>
      </c>
      <c r="E38" s="57" t="n">
        <v>2100</v>
      </c>
      <c r="F38" s="56" t="s">
        <v>135</v>
      </c>
      <c r="G38" s="58" t="n">
        <v>4</v>
      </c>
      <c r="H38" s="59" t="n">
        <f aca="false">E38*G38</f>
        <v>8400</v>
      </c>
      <c r="I38" s="59" t="n">
        <f aca="false">H38/(1-Summary!$G$11)</f>
        <v>14000</v>
      </c>
    </row>
    <row r="39" customFormat="false" ht="23.85" hidden="false" customHeight="false" outlineLevel="0" collapsed="false">
      <c r="B39" s="54" t="s">
        <v>426</v>
      </c>
      <c r="C39" s="55" t="s">
        <v>427</v>
      </c>
      <c r="D39" s="56" t="s">
        <v>428</v>
      </c>
      <c r="E39" s="57" t="n">
        <v>140</v>
      </c>
      <c r="F39" s="56" t="s">
        <v>429</v>
      </c>
      <c r="G39" s="58" t="n">
        <v>85</v>
      </c>
      <c r="H39" s="59" t="n">
        <f aca="false">E39*G39</f>
        <v>11900</v>
      </c>
      <c r="I39" s="59" t="n">
        <f aca="false">H39/(1-Summary!$G$11)</f>
        <v>19833.3333333333</v>
      </c>
    </row>
    <row r="40" customFormat="false" ht="15" hidden="false" customHeight="false" outlineLevel="0" collapsed="false">
      <c r="B40" s="60"/>
      <c r="C40" s="61" t="s">
        <v>430</v>
      </c>
      <c r="D40" s="60"/>
      <c r="E40" s="60"/>
      <c r="F40" s="60"/>
      <c r="G40" s="60"/>
      <c r="H40" s="62" t="n">
        <f aca="false">SUM(H36:H39)</f>
        <v>35590</v>
      </c>
      <c r="I40" s="62" t="n">
        <f aca="false">SUM(I36:I39)</f>
        <v>59316.6666666667</v>
      </c>
    </row>
    <row r="42" customFormat="false" ht="15" hidden="false" customHeight="false" outlineLevel="0" collapsed="false">
      <c r="B42" s="53" t="s">
        <v>431</v>
      </c>
      <c r="C42" s="53"/>
      <c r="D42" s="53"/>
      <c r="E42" s="53"/>
      <c r="F42" s="53"/>
      <c r="G42" s="53"/>
      <c r="H42" s="53"/>
      <c r="I42" s="53"/>
    </row>
    <row r="43" customFormat="false" ht="22.35" hidden="false" customHeight="false" outlineLevel="0" collapsed="false">
      <c r="B43" s="54" t="s">
        <v>432</v>
      </c>
      <c r="C43" s="55" t="s">
        <v>433</v>
      </c>
      <c r="D43" s="56" t="s">
        <v>434</v>
      </c>
      <c r="E43" s="57" t="n">
        <v>2450</v>
      </c>
      <c r="F43" s="56" t="s">
        <v>184</v>
      </c>
      <c r="G43" s="58" t="n">
        <v>8</v>
      </c>
      <c r="H43" s="59" t="n">
        <f aca="false">E43*G43</f>
        <v>19600</v>
      </c>
      <c r="I43" s="59" t="n">
        <f aca="false">H43/(1-Summary!$G$11)</f>
        <v>32666.6666666667</v>
      </c>
    </row>
    <row r="44" customFormat="false" ht="22.35" hidden="false" customHeight="false" outlineLevel="0" collapsed="false">
      <c r="B44" s="54" t="s">
        <v>435</v>
      </c>
      <c r="C44" s="55" t="s">
        <v>436</v>
      </c>
      <c r="D44" s="56" t="s">
        <v>437</v>
      </c>
      <c r="E44" s="57" t="n">
        <v>505</v>
      </c>
      <c r="F44" s="56" t="s">
        <v>184</v>
      </c>
      <c r="G44" s="58" t="n">
        <v>6</v>
      </c>
      <c r="H44" s="59" t="n">
        <f aca="false">E44*G44</f>
        <v>3030</v>
      </c>
      <c r="I44" s="59" t="n">
        <f aca="false">H44/(1-Summary!$G$11)</f>
        <v>5050</v>
      </c>
    </row>
    <row r="45" customFormat="false" ht="23.85" hidden="false" customHeight="false" outlineLevel="0" collapsed="false">
      <c r="B45" s="54" t="s">
        <v>438</v>
      </c>
      <c r="C45" s="55" t="s">
        <v>439</v>
      </c>
      <c r="D45" s="56" t="s">
        <v>440</v>
      </c>
      <c r="E45" s="57" t="n">
        <v>335</v>
      </c>
      <c r="F45" s="56" t="s">
        <v>184</v>
      </c>
      <c r="G45" s="58" t="n">
        <v>15</v>
      </c>
      <c r="H45" s="59" t="n">
        <f aca="false">E45*G45</f>
        <v>5025</v>
      </c>
      <c r="I45" s="59" t="n">
        <f aca="false">H45/(1-Summary!$G$11)</f>
        <v>8375</v>
      </c>
    </row>
    <row r="46" customFormat="false" ht="23.85" hidden="false" customHeight="false" outlineLevel="0" collapsed="false">
      <c r="B46" s="54" t="s">
        <v>441</v>
      </c>
      <c r="C46" s="55" t="s">
        <v>442</v>
      </c>
      <c r="D46" s="56" t="s">
        <v>443</v>
      </c>
      <c r="E46" s="57" t="n">
        <v>335</v>
      </c>
      <c r="F46" s="56" t="s">
        <v>184</v>
      </c>
      <c r="G46" s="58" t="n">
        <v>8.5</v>
      </c>
      <c r="H46" s="59" t="n">
        <f aca="false">E46*G46</f>
        <v>2847.5</v>
      </c>
      <c r="I46" s="59" t="n">
        <f aca="false">H46/(1-Summary!$G$11)</f>
        <v>4745.83333333333</v>
      </c>
    </row>
    <row r="47" customFormat="false" ht="23.85" hidden="false" customHeight="false" outlineLevel="0" collapsed="false">
      <c r="B47" s="54" t="s">
        <v>444</v>
      </c>
      <c r="C47" s="55" t="s">
        <v>445</v>
      </c>
      <c r="D47" s="56" t="s">
        <v>446</v>
      </c>
      <c r="E47" s="57" t="n">
        <v>140</v>
      </c>
      <c r="F47" s="56" t="s">
        <v>184</v>
      </c>
      <c r="G47" s="58" t="n">
        <v>18</v>
      </c>
      <c r="H47" s="59" t="n">
        <f aca="false">E47*G47</f>
        <v>2520</v>
      </c>
      <c r="I47" s="59" t="n">
        <f aca="false">H47/(1-Summary!$G$11)</f>
        <v>4200</v>
      </c>
    </row>
    <row r="48" customFormat="false" ht="23.85" hidden="false" customHeight="false" outlineLevel="0" collapsed="false">
      <c r="B48" s="54" t="s">
        <v>447</v>
      </c>
      <c r="C48" s="55" t="s">
        <v>448</v>
      </c>
      <c r="D48" s="56" t="s">
        <v>449</v>
      </c>
      <c r="E48" s="57" t="n">
        <v>16</v>
      </c>
      <c r="F48" s="56" t="s">
        <v>184</v>
      </c>
      <c r="G48" s="58" t="n">
        <v>12</v>
      </c>
      <c r="H48" s="59" t="n">
        <f aca="false">E48*G48</f>
        <v>192</v>
      </c>
      <c r="I48" s="59" t="n">
        <f aca="false">H48/(1-Summary!$G$11)</f>
        <v>320</v>
      </c>
    </row>
    <row r="49" customFormat="false" ht="23.85" hidden="false" customHeight="false" outlineLevel="0" collapsed="false">
      <c r="B49" s="54" t="s">
        <v>450</v>
      </c>
      <c r="C49" s="55" t="s">
        <v>451</v>
      </c>
      <c r="D49" s="56" t="s">
        <v>452</v>
      </c>
      <c r="E49" s="57" t="n">
        <v>30</v>
      </c>
      <c r="F49" s="56" t="s">
        <v>184</v>
      </c>
      <c r="G49" s="58" t="n">
        <v>38</v>
      </c>
      <c r="H49" s="59" t="n">
        <f aca="false">E49*G49</f>
        <v>1140</v>
      </c>
      <c r="I49" s="59" t="n">
        <f aca="false">H49/(1-Summary!$G$11)</f>
        <v>1900</v>
      </c>
    </row>
    <row r="50" customFormat="false" ht="15" hidden="false" customHeight="false" outlineLevel="0" collapsed="false">
      <c r="B50" s="60"/>
      <c r="C50" s="61" t="s">
        <v>453</v>
      </c>
      <c r="D50" s="60"/>
      <c r="E50" s="60"/>
      <c r="F50" s="60"/>
      <c r="G50" s="60"/>
      <c r="H50" s="62" t="n">
        <f aca="false">SUM(H43:H49)</f>
        <v>34354.5</v>
      </c>
      <c r="I50" s="62" t="n">
        <f aca="false">SUM(I43:I49)</f>
        <v>57257.5</v>
      </c>
    </row>
    <row r="52" customFormat="false" ht="15" hidden="false" customHeight="false" outlineLevel="0" collapsed="false">
      <c r="B52" s="53" t="s">
        <v>454</v>
      </c>
      <c r="C52" s="53"/>
      <c r="D52" s="53"/>
      <c r="E52" s="53"/>
      <c r="F52" s="53"/>
      <c r="G52" s="53"/>
      <c r="H52" s="53"/>
      <c r="I52" s="53"/>
    </row>
    <row r="53" customFormat="false" ht="15" hidden="false" customHeight="false" outlineLevel="0" collapsed="false">
      <c r="B53" s="54" t="s">
        <v>455</v>
      </c>
      <c r="C53" s="55" t="s">
        <v>456</v>
      </c>
      <c r="D53" s="56" t="s">
        <v>457</v>
      </c>
      <c r="E53" s="57" t="n">
        <v>1</v>
      </c>
      <c r="F53" s="56" t="s">
        <v>97</v>
      </c>
      <c r="G53" s="58" t="n">
        <v>5000</v>
      </c>
      <c r="H53" s="59" t="n">
        <f aca="false">E53*G53</f>
        <v>5000</v>
      </c>
      <c r="I53" s="59" t="n">
        <f aca="false">H53/(1-Summary!$G$11)</f>
        <v>8333.33333333333</v>
      </c>
    </row>
    <row r="54" customFormat="false" ht="15" hidden="false" customHeight="false" outlineLevel="0" collapsed="false">
      <c r="B54" s="54" t="s">
        <v>458</v>
      </c>
      <c r="C54" s="55" t="s">
        <v>459</v>
      </c>
      <c r="D54" s="56" t="s">
        <v>460</v>
      </c>
      <c r="E54" s="57" t="n">
        <v>34</v>
      </c>
      <c r="F54" s="56" t="s">
        <v>135</v>
      </c>
      <c r="G54" s="58" t="n">
        <v>120</v>
      </c>
      <c r="H54" s="59" t="n">
        <f aca="false">E54*G54</f>
        <v>4080</v>
      </c>
      <c r="I54" s="59" t="n">
        <f aca="false">H54/(1-Summary!$G$11)</f>
        <v>6800</v>
      </c>
    </row>
    <row r="55" customFormat="false" ht="15" hidden="false" customHeight="false" outlineLevel="0" collapsed="false">
      <c r="B55" s="60"/>
      <c r="C55" s="61" t="s">
        <v>461</v>
      </c>
      <c r="D55" s="60"/>
      <c r="E55" s="60"/>
      <c r="F55" s="60"/>
      <c r="G55" s="60"/>
      <c r="H55" s="62" t="n">
        <f aca="false">SUM(H53:H54)</f>
        <v>9080</v>
      </c>
      <c r="I55" s="62" t="n">
        <f aca="false">SUM(I53:I54)</f>
        <v>15133.3333333333</v>
      </c>
    </row>
    <row r="57" customFormat="false" ht="15" hidden="false" customHeight="false" outlineLevel="0" collapsed="false">
      <c r="B57" s="53" t="s">
        <v>462</v>
      </c>
      <c r="C57" s="53"/>
      <c r="D57" s="53"/>
      <c r="E57" s="53"/>
      <c r="F57" s="53"/>
      <c r="G57" s="53"/>
      <c r="H57" s="53"/>
      <c r="I57" s="53"/>
    </row>
    <row r="58" customFormat="false" ht="15" hidden="false" customHeight="false" outlineLevel="0" collapsed="false">
      <c r="B58" s="54" t="s">
        <v>463</v>
      </c>
      <c r="C58" s="55" t="s">
        <v>464</v>
      </c>
      <c r="D58" s="56" t="s">
        <v>465</v>
      </c>
      <c r="E58" s="57" t="n">
        <v>40</v>
      </c>
      <c r="F58" s="56" t="s">
        <v>135</v>
      </c>
      <c r="G58" s="58" t="n">
        <v>280</v>
      </c>
      <c r="H58" s="59" t="n">
        <f aca="false">E58*G58</f>
        <v>11200</v>
      </c>
      <c r="I58" s="59" t="n">
        <f aca="false">H58/(1-Summary!$G$11)</f>
        <v>18666.6666666667</v>
      </c>
    </row>
    <row r="59" customFormat="false" ht="15" hidden="false" customHeight="false" outlineLevel="0" collapsed="false">
      <c r="B59" s="54" t="s">
        <v>466</v>
      </c>
      <c r="C59" s="55" t="s">
        <v>467</v>
      </c>
      <c r="D59" s="56" t="s">
        <v>468</v>
      </c>
      <c r="E59" s="57" t="n">
        <v>40</v>
      </c>
      <c r="F59" s="56" t="s">
        <v>135</v>
      </c>
      <c r="G59" s="58" t="n">
        <v>85</v>
      </c>
      <c r="H59" s="59" t="n">
        <f aca="false">E59*G59</f>
        <v>3400</v>
      </c>
      <c r="I59" s="59" t="n">
        <f aca="false">H59/(1-Summary!$G$11)</f>
        <v>5666.66666666667</v>
      </c>
    </row>
    <row r="60" customFormat="false" ht="23.85" hidden="false" customHeight="false" outlineLevel="0" collapsed="false">
      <c r="B60" s="54" t="s">
        <v>469</v>
      </c>
      <c r="C60" s="55" t="s">
        <v>470</v>
      </c>
      <c r="D60" s="56" t="s">
        <v>471</v>
      </c>
      <c r="E60" s="57" t="n">
        <v>1</v>
      </c>
      <c r="F60" s="56" t="s">
        <v>97</v>
      </c>
      <c r="G60" s="58" t="n">
        <v>600</v>
      </c>
      <c r="H60" s="59" t="n">
        <f aca="false">E60*G60</f>
        <v>600</v>
      </c>
      <c r="I60" s="59" t="n">
        <f aca="false">H60/(1-Summary!$G$11)</f>
        <v>1000</v>
      </c>
    </row>
    <row r="61" customFormat="false" ht="15" hidden="false" customHeight="false" outlineLevel="0" collapsed="false">
      <c r="B61" s="54" t="s">
        <v>472</v>
      </c>
      <c r="C61" s="55" t="s">
        <v>473</v>
      </c>
      <c r="D61" s="56" t="s">
        <v>474</v>
      </c>
      <c r="E61" s="57" t="n">
        <v>95</v>
      </c>
      <c r="F61" s="56" t="s">
        <v>184</v>
      </c>
      <c r="G61" s="58" t="n">
        <v>65</v>
      </c>
      <c r="H61" s="59" t="n">
        <f aca="false">E61*G61</f>
        <v>6175</v>
      </c>
      <c r="I61" s="59" t="n">
        <f aca="false">H61/(1-Summary!$G$11)</f>
        <v>10291.6666666667</v>
      </c>
    </row>
    <row r="62" customFormat="false" ht="15" hidden="false" customHeight="false" outlineLevel="0" collapsed="false">
      <c r="B62" s="60"/>
      <c r="C62" s="61" t="s">
        <v>475</v>
      </c>
      <c r="D62" s="60"/>
      <c r="E62" s="60"/>
      <c r="F62" s="60"/>
      <c r="G62" s="60"/>
      <c r="H62" s="62" t="n">
        <f aca="false">SUM(H58:H61)</f>
        <v>21375</v>
      </c>
      <c r="I62" s="62" t="n">
        <f aca="false">SUM(I58:I61)</f>
        <v>35625</v>
      </c>
    </row>
    <row r="64" customFormat="false" ht="15" hidden="false" customHeight="false" outlineLevel="0" collapsed="false">
      <c r="B64" s="53" t="s">
        <v>476</v>
      </c>
      <c r="C64" s="53"/>
      <c r="D64" s="53"/>
      <c r="E64" s="53"/>
      <c r="F64" s="53"/>
      <c r="G64" s="53"/>
      <c r="H64" s="53"/>
      <c r="I64" s="53"/>
    </row>
    <row r="65" customFormat="false" ht="15" hidden="false" customHeight="false" outlineLevel="0" collapsed="false">
      <c r="B65" s="54" t="s">
        <v>477</v>
      </c>
      <c r="C65" s="55" t="s">
        <v>478</v>
      </c>
      <c r="D65" s="56" t="s">
        <v>479</v>
      </c>
      <c r="E65" s="57" t="n">
        <v>3</v>
      </c>
      <c r="F65" s="56" t="s">
        <v>116</v>
      </c>
      <c r="G65" s="58" t="n">
        <v>1200</v>
      </c>
      <c r="H65" s="59" t="n">
        <f aca="false">E65*G65</f>
        <v>3600</v>
      </c>
      <c r="I65" s="59" t="n">
        <f aca="false">H65/(1-Summary!$G$11)</f>
        <v>6000</v>
      </c>
    </row>
    <row r="66" customFormat="false" ht="22.35" hidden="false" customHeight="false" outlineLevel="0" collapsed="false">
      <c r="B66" s="54" t="s">
        <v>480</v>
      </c>
      <c r="C66" s="55" t="s">
        <v>481</v>
      </c>
      <c r="D66" s="56" t="s">
        <v>482</v>
      </c>
      <c r="E66" s="57" t="n">
        <v>1</v>
      </c>
      <c r="F66" s="56" t="s">
        <v>97</v>
      </c>
      <c r="G66" s="58" t="n">
        <v>9000</v>
      </c>
      <c r="H66" s="59" t="n">
        <f aca="false">E66*G66</f>
        <v>9000</v>
      </c>
      <c r="I66" s="59" t="n">
        <f aca="false">H66/(1-Summary!$G$11)</f>
        <v>15000</v>
      </c>
    </row>
    <row r="67" customFormat="false" ht="15" hidden="false" customHeight="false" outlineLevel="0" collapsed="false">
      <c r="B67" s="54" t="s">
        <v>483</v>
      </c>
      <c r="C67" s="55" t="s">
        <v>484</v>
      </c>
      <c r="D67" s="56" t="s">
        <v>485</v>
      </c>
      <c r="E67" s="57" t="n">
        <v>1</v>
      </c>
      <c r="F67" s="56" t="s">
        <v>97</v>
      </c>
      <c r="G67" s="58" t="n">
        <v>4500</v>
      </c>
      <c r="H67" s="59" t="n">
        <f aca="false">E67*G67</f>
        <v>4500</v>
      </c>
      <c r="I67" s="59" t="n">
        <f aca="false">H67/(1-Summary!$G$11)</f>
        <v>7500</v>
      </c>
    </row>
    <row r="68" customFormat="false" ht="15" hidden="false" customHeight="false" outlineLevel="0" collapsed="false">
      <c r="B68" s="54" t="s">
        <v>486</v>
      </c>
      <c r="C68" s="55" t="s">
        <v>487</v>
      </c>
      <c r="D68" s="56" t="s">
        <v>488</v>
      </c>
      <c r="E68" s="57" t="n">
        <v>6</v>
      </c>
      <c r="F68" s="56" t="s">
        <v>116</v>
      </c>
      <c r="G68" s="58" t="n">
        <v>150</v>
      </c>
      <c r="H68" s="59" t="n">
        <f aca="false">E68*G68</f>
        <v>900</v>
      </c>
      <c r="I68" s="59" t="n">
        <f aca="false">H68/(1-Summary!$G$11)</f>
        <v>1500</v>
      </c>
    </row>
    <row r="69" customFormat="false" ht="15" hidden="false" customHeight="false" outlineLevel="0" collapsed="false">
      <c r="B69" s="54" t="s">
        <v>489</v>
      </c>
      <c r="C69" s="55" t="s">
        <v>490</v>
      </c>
      <c r="D69" s="56" t="s">
        <v>491</v>
      </c>
      <c r="E69" s="57" t="n">
        <v>1</v>
      </c>
      <c r="F69" s="56" t="s">
        <v>116</v>
      </c>
      <c r="G69" s="58" t="n">
        <v>1500</v>
      </c>
      <c r="H69" s="59" t="n">
        <f aca="false">E69*G69</f>
        <v>1500</v>
      </c>
      <c r="I69" s="59" t="n">
        <f aca="false">H69/(1-Summary!$G$11)</f>
        <v>2500</v>
      </c>
    </row>
    <row r="70" customFormat="false" ht="15" hidden="false" customHeight="false" outlineLevel="0" collapsed="false">
      <c r="B70" s="54" t="s">
        <v>492</v>
      </c>
      <c r="C70" s="55" t="s">
        <v>493</v>
      </c>
      <c r="D70" s="56" t="s">
        <v>494</v>
      </c>
      <c r="E70" s="57" t="n">
        <v>3</v>
      </c>
      <c r="F70" s="56" t="s">
        <v>116</v>
      </c>
      <c r="G70" s="58" t="n">
        <v>250</v>
      </c>
      <c r="H70" s="59" t="n">
        <f aca="false">E70*G70</f>
        <v>750</v>
      </c>
      <c r="I70" s="59" t="n">
        <f aca="false">H70/(1-Summary!$G$11)</f>
        <v>1250</v>
      </c>
    </row>
    <row r="71" customFormat="false" ht="15" hidden="false" customHeight="false" outlineLevel="0" collapsed="false">
      <c r="B71" s="54" t="s">
        <v>495</v>
      </c>
      <c r="C71" s="55" t="s">
        <v>496</v>
      </c>
      <c r="D71" s="56" t="s">
        <v>497</v>
      </c>
      <c r="E71" s="57" t="n">
        <v>9</v>
      </c>
      <c r="F71" s="56" t="s">
        <v>116</v>
      </c>
      <c r="G71" s="58" t="n">
        <v>120</v>
      </c>
      <c r="H71" s="59" t="n">
        <f aca="false">E71*G71</f>
        <v>1080</v>
      </c>
      <c r="I71" s="59" t="n">
        <f aca="false">H71/(1-Summary!$G$11)</f>
        <v>1800</v>
      </c>
    </row>
    <row r="72" customFormat="false" ht="15" hidden="false" customHeight="false" outlineLevel="0" collapsed="false">
      <c r="B72" s="54" t="s">
        <v>498</v>
      </c>
      <c r="C72" s="55" t="s">
        <v>499</v>
      </c>
      <c r="D72" s="56" t="s">
        <v>500</v>
      </c>
      <c r="E72" s="57" t="n">
        <v>1</v>
      </c>
      <c r="F72" s="56" t="s">
        <v>97</v>
      </c>
      <c r="G72" s="58" t="n">
        <v>9000</v>
      </c>
      <c r="H72" s="59" t="n">
        <f aca="false">E72*G72</f>
        <v>9000</v>
      </c>
      <c r="I72" s="59" t="n">
        <f aca="false">H72/(1-Summary!$G$11)</f>
        <v>15000</v>
      </c>
    </row>
    <row r="73" customFormat="false" ht="15" hidden="false" customHeight="false" outlineLevel="0" collapsed="false">
      <c r="B73" s="60"/>
      <c r="C73" s="61" t="s">
        <v>501</v>
      </c>
      <c r="D73" s="60"/>
      <c r="E73" s="60"/>
      <c r="F73" s="60"/>
      <c r="G73" s="60"/>
      <c r="H73" s="62" t="n">
        <f aca="false">SUM(H65:H72)</f>
        <v>30330</v>
      </c>
      <c r="I73" s="62" t="n">
        <f aca="false">SUM(I65:I72)</f>
        <v>50550</v>
      </c>
    </row>
    <row r="75" customFormat="false" ht="15" hidden="false" customHeight="false" outlineLevel="0" collapsed="false">
      <c r="B75" s="53" t="s">
        <v>502</v>
      </c>
      <c r="C75" s="53"/>
      <c r="D75" s="53"/>
      <c r="E75" s="53"/>
      <c r="F75" s="53"/>
      <c r="G75" s="53"/>
      <c r="H75" s="53"/>
      <c r="I75" s="53"/>
    </row>
    <row r="76" customFormat="false" ht="15" hidden="false" customHeight="false" outlineLevel="0" collapsed="false">
      <c r="B76" s="54" t="s">
        <v>503</v>
      </c>
      <c r="C76" s="55" t="s">
        <v>504</v>
      </c>
      <c r="D76" s="56" t="s">
        <v>505</v>
      </c>
      <c r="E76" s="57" t="n">
        <v>37</v>
      </c>
      <c r="F76" s="56" t="s">
        <v>135</v>
      </c>
      <c r="G76" s="58" t="n">
        <v>85</v>
      </c>
      <c r="H76" s="59" t="n">
        <f aca="false">E76*G76</f>
        <v>3145</v>
      </c>
      <c r="I76" s="59" t="n">
        <f aca="false">H76/(1-Summary!$G$11)</f>
        <v>5241.66666666667</v>
      </c>
    </row>
    <row r="77" customFormat="false" ht="15" hidden="false" customHeight="false" outlineLevel="0" collapsed="false">
      <c r="B77" s="54" t="s">
        <v>506</v>
      </c>
      <c r="C77" s="55" t="s">
        <v>507</v>
      </c>
      <c r="D77" s="56" t="s">
        <v>508</v>
      </c>
      <c r="E77" s="57" t="n">
        <v>40</v>
      </c>
      <c r="F77" s="56" t="s">
        <v>184</v>
      </c>
      <c r="G77" s="58" t="n">
        <v>65</v>
      </c>
      <c r="H77" s="59" t="n">
        <f aca="false">E77*G77</f>
        <v>2600</v>
      </c>
      <c r="I77" s="59" t="n">
        <f aca="false">H77/(1-Summary!$G$11)</f>
        <v>4333.33333333333</v>
      </c>
    </row>
    <row r="78" customFormat="false" ht="15" hidden="false" customHeight="false" outlineLevel="0" collapsed="false">
      <c r="B78" s="54" t="s">
        <v>509</v>
      </c>
      <c r="C78" s="55" t="s">
        <v>510</v>
      </c>
      <c r="D78" s="56" t="s">
        <v>511</v>
      </c>
      <c r="E78" s="57" t="n">
        <v>40</v>
      </c>
      <c r="F78" s="56" t="s">
        <v>184</v>
      </c>
      <c r="G78" s="58" t="n">
        <v>45</v>
      </c>
      <c r="H78" s="59" t="n">
        <f aca="false">E78*G78</f>
        <v>1800</v>
      </c>
      <c r="I78" s="59" t="n">
        <f aca="false">H78/(1-Summary!$G$11)</f>
        <v>3000</v>
      </c>
    </row>
    <row r="79" customFormat="false" ht="15" hidden="false" customHeight="false" outlineLevel="0" collapsed="false">
      <c r="B79" s="54" t="s">
        <v>512</v>
      </c>
      <c r="C79" s="55" t="s">
        <v>513</v>
      </c>
      <c r="D79" s="56" t="s">
        <v>514</v>
      </c>
      <c r="E79" s="57" t="n">
        <v>880</v>
      </c>
      <c r="F79" s="56" t="s">
        <v>184</v>
      </c>
      <c r="G79" s="58" t="n">
        <v>8</v>
      </c>
      <c r="H79" s="59" t="n">
        <f aca="false">E79*G79</f>
        <v>7040</v>
      </c>
      <c r="I79" s="59" t="n">
        <f aca="false">H79/(1-Summary!$G$11)</f>
        <v>11733.3333333333</v>
      </c>
    </row>
    <row r="80" customFormat="false" ht="15" hidden="false" customHeight="false" outlineLevel="0" collapsed="false">
      <c r="B80" s="54" t="s">
        <v>515</v>
      </c>
      <c r="C80" s="55" t="s">
        <v>516</v>
      </c>
      <c r="D80" s="56" t="s">
        <v>517</v>
      </c>
      <c r="E80" s="57" t="n">
        <v>5000</v>
      </c>
      <c r="F80" s="56" t="s">
        <v>184</v>
      </c>
      <c r="G80" s="58" t="n">
        <v>1.25</v>
      </c>
      <c r="H80" s="59" t="n">
        <f aca="false">E80*G80</f>
        <v>6250</v>
      </c>
      <c r="I80" s="59" t="n">
        <f aca="false">H80/(1-Summary!$G$11)</f>
        <v>10416.6666666667</v>
      </c>
    </row>
    <row r="81" customFormat="false" ht="15" hidden="false" customHeight="false" outlineLevel="0" collapsed="false">
      <c r="B81" s="54" t="s">
        <v>518</v>
      </c>
      <c r="C81" s="55" t="s">
        <v>519</v>
      </c>
      <c r="D81" s="56" t="s">
        <v>520</v>
      </c>
      <c r="E81" s="57" t="n">
        <v>5000</v>
      </c>
      <c r="F81" s="56" t="s">
        <v>184</v>
      </c>
      <c r="G81" s="58" t="n">
        <v>1</v>
      </c>
      <c r="H81" s="59" t="n">
        <f aca="false">E81*G81</f>
        <v>5000</v>
      </c>
      <c r="I81" s="59" t="n">
        <f aca="false">H81/(1-Summary!$G$11)</f>
        <v>8333.33333333333</v>
      </c>
    </row>
    <row r="82" customFormat="false" ht="15" hidden="false" customHeight="false" outlineLevel="0" collapsed="false">
      <c r="B82" s="60"/>
      <c r="C82" s="61" t="s">
        <v>521</v>
      </c>
      <c r="D82" s="60"/>
      <c r="E82" s="60"/>
      <c r="F82" s="60"/>
      <c r="G82" s="60"/>
      <c r="H82" s="62" t="n">
        <f aca="false">SUM(H76:H81)</f>
        <v>25835</v>
      </c>
      <c r="I82" s="62" t="n">
        <f aca="false">SUM(I76:I81)</f>
        <v>43058.3333333333</v>
      </c>
    </row>
    <row r="84" customFormat="false" ht="15" hidden="false" customHeight="false" outlineLevel="0" collapsed="false">
      <c r="B84" s="53" t="s">
        <v>522</v>
      </c>
      <c r="C84" s="53"/>
      <c r="D84" s="53"/>
      <c r="E84" s="53"/>
      <c r="F84" s="53"/>
      <c r="G84" s="53"/>
      <c r="H84" s="53"/>
      <c r="I84" s="53"/>
    </row>
    <row r="85" customFormat="false" ht="23.85" hidden="false" customHeight="false" outlineLevel="0" collapsed="false">
      <c r="B85" s="54" t="s">
        <v>128</v>
      </c>
      <c r="C85" s="55" t="s">
        <v>129</v>
      </c>
      <c r="D85" s="56" t="s">
        <v>523</v>
      </c>
      <c r="E85" s="57" t="n">
        <v>3</v>
      </c>
      <c r="F85" s="56" t="s">
        <v>131</v>
      </c>
      <c r="G85" s="58" t="n">
        <v>12000</v>
      </c>
      <c r="H85" s="59" t="n">
        <f aca="false">E85*G85</f>
        <v>36000</v>
      </c>
      <c r="I85" s="59" t="n">
        <f aca="false">H85/(1-Summary!$G$11)</f>
        <v>60000</v>
      </c>
    </row>
    <row r="86" customFormat="false" ht="15" hidden="false" customHeight="false" outlineLevel="0" collapsed="false">
      <c r="B86" s="54" t="s">
        <v>155</v>
      </c>
      <c r="C86" s="55" t="s">
        <v>156</v>
      </c>
      <c r="D86" s="56" t="s">
        <v>524</v>
      </c>
      <c r="E86" s="57" t="n">
        <v>2</v>
      </c>
      <c r="F86" s="56" t="s">
        <v>131</v>
      </c>
      <c r="G86" s="58" t="n">
        <v>1800</v>
      </c>
      <c r="H86" s="59" t="n">
        <f aca="false">E86*G86</f>
        <v>3600</v>
      </c>
      <c r="I86" s="59" t="n">
        <f aca="false">H86/(1-Summary!$G$11)</f>
        <v>6000</v>
      </c>
    </row>
    <row r="87" customFormat="false" ht="15" hidden="false" customHeight="false" outlineLevel="0" collapsed="false">
      <c r="B87" s="54" t="s">
        <v>525</v>
      </c>
      <c r="C87" s="55" t="s">
        <v>526</v>
      </c>
      <c r="D87" s="56" t="s">
        <v>527</v>
      </c>
      <c r="E87" s="57" t="n">
        <v>2500</v>
      </c>
      <c r="F87" s="56" t="s">
        <v>184</v>
      </c>
      <c r="G87" s="58" t="n">
        <v>4.5</v>
      </c>
      <c r="H87" s="59" t="n">
        <f aca="false">E87*G87</f>
        <v>11250</v>
      </c>
      <c r="I87" s="59" t="n">
        <f aca="false">H87/(1-Summary!$G$11)</f>
        <v>18750</v>
      </c>
    </row>
    <row r="88" customFormat="false" ht="15" hidden="false" customHeight="false" outlineLevel="0" collapsed="false">
      <c r="B88" s="54" t="s">
        <v>528</v>
      </c>
      <c r="C88" s="55" t="s">
        <v>529</v>
      </c>
      <c r="D88" s="56" t="s">
        <v>530</v>
      </c>
      <c r="E88" s="57" t="n">
        <v>1</v>
      </c>
      <c r="F88" s="56" t="s">
        <v>97</v>
      </c>
      <c r="G88" s="58" t="n">
        <v>1800</v>
      </c>
      <c r="H88" s="59" t="n">
        <f aca="false">E88*G88</f>
        <v>1800</v>
      </c>
      <c r="I88" s="59" t="n">
        <f aca="false">H88/(1-Summary!$G$11)</f>
        <v>3000</v>
      </c>
    </row>
    <row r="89" customFormat="false" ht="15" hidden="false" customHeight="false" outlineLevel="0" collapsed="false">
      <c r="B89" s="54" t="s">
        <v>531</v>
      </c>
      <c r="C89" s="55" t="s">
        <v>532</v>
      </c>
      <c r="D89" s="56" t="s">
        <v>533</v>
      </c>
      <c r="E89" s="57" t="n">
        <v>1</v>
      </c>
      <c r="F89" s="56" t="s">
        <v>97</v>
      </c>
      <c r="G89" s="58" t="n">
        <v>1800</v>
      </c>
      <c r="H89" s="59" t="n">
        <f aca="false">E89*G89</f>
        <v>1800</v>
      </c>
      <c r="I89" s="59" t="n">
        <f aca="false">H89/(1-Summary!$G$11)</f>
        <v>3000</v>
      </c>
    </row>
    <row r="90" customFormat="false" ht="15" hidden="false" customHeight="false" outlineLevel="0" collapsed="false">
      <c r="B90" s="54" t="s">
        <v>534</v>
      </c>
      <c r="C90" s="55" t="s">
        <v>535</v>
      </c>
      <c r="D90" s="56" t="s">
        <v>536</v>
      </c>
      <c r="E90" s="57" t="n">
        <v>1</v>
      </c>
      <c r="F90" s="56" t="s">
        <v>97</v>
      </c>
      <c r="G90" s="58" t="n">
        <v>1200</v>
      </c>
      <c r="H90" s="59" t="n">
        <f aca="false">E90*G90</f>
        <v>1200</v>
      </c>
      <c r="I90" s="59" t="n">
        <f aca="false">H90/(1-Summary!$G$11)</f>
        <v>2000</v>
      </c>
    </row>
    <row r="91" customFormat="false" ht="15" hidden="false" customHeight="false" outlineLevel="0" collapsed="false">
      <c r="B91" s="54" t="s">
        <v>537</v>
      </c>
      <c r="C91" s="55" t="s">
        <v>538</v>
      </c>
      <c r="D91" s="56" t="s">
        <v>539</v>
      </c>
      <c r="E91" s="57" t="n">
        <v>1</v>
      </c>
      <c r="F91" s="56" t="s">
        <v>97</v>
      </c>
      <c r="G91" s="58" t="n">
        <v>2500</v>
      </c>
      <c r="H91" s="59" t="n">
        <f aca="false">E91*G91</f>
        <v>2500</v>
      </c>
      <c r="I91" s="59" t="n">
        <f aca="false">H91/(1-Summary!$G$11)</f>
        <v>4166.66666666667</v>
      </c>
    </row>
    <row r="92" customFormat="false" ht="15" hidden="false" customHeight="false" outlineLevel="0" collapsed="false">
      <c r="B92" s="54" t="s">
        <v>540</v>
      </c>
      <c r="C92" s="55" t="s">
        <v>541</v>
      </c>
      <c r="D92" s="56" t="s">
        <v>542</v>
      </c>
      <c r="E92" s="57" t="n">
        <v>1</v>
      </c>
      <c r="F92" s="56" t="s">
        <v>97</v>
      </c>
      <c r="G92" s="58" t="n">
        <v>1500</v>
      </c>
      <c r="H92" s="59" t="n">
        <f aca="false">E92*G92</f>
        <v>1500</v>
      </c>
      <c r="I92" s="59" t="n">
        <f aca="false">H92/(1-Summary!$G$11)</f>
        <v>2500</v>
      </c>
    </row>
    <row r="93" customFormat="false" ht="15" hidden="false" customHeight="false" outlineLevel="0" collapsed="false">
      <c r="B93" s="54" t="s">
        <v>543</v>
      </c>
      <c r="C93" s="55" t="s">
        <v>544</v>
      </c>
      <c r="D93" s="56" t="s">
        <v>545</v>
      </c>
      <c r="E93" s="57" t="n">
        <v>1</v>
      </c>
      <c r="F93" s="56" t="s">
        <v>97</v>
      </c>
      <c r="G93" s="58" t="n">
        <v>4500</v>
      </c>
      <c r="H93" s="59" t="n">
        <f aca="false">E93*G93</f>
        <v>4500</v>
      </c>
      <c r="I93" s="59" t="n">
        <f aca="false">H93/(1-Summary!$G$11)</f>
        <v>7500</v>
      </c>
    </row>
    <row r="94" customFormat="false" ht="15" hidden="false" customHeight="false" outlineLevel="0" collapsed="false">
      <c r="B94" s="54" t="s">
        <v>546</v>
      </c>
      <c r="C94" s="55" t="s">
        <v>547</v>
      </c>
      <c r="D94" s="56" t="s">
        <v>548</v>
      </c>
      <c r="E94" s="57" t="n">
        <v>1</v>
      </c>
      <c r="F94" s="56" t="s">
        <v>97</v>
      </c>
      <c r="G94" s="58" t="n">
        <v>8500</v>
      </c>
      <c r="H94" s="59" t="n">
        <f aca="false">E94*G94</f>
        <v>8500</v>
      </c>
      <c r="I94" s="59" t="n">
        <f aca="false">H94/(1-Summary!$G$11)</f>
        <v>14166.6666666667</v>
      </c>
    </row>
    <row r="95" customFormat="false" ht="15" hidden="false" customHeight="false" outlineLevel="0" collapsed="false">
      <c r="B95" s="54" t="s">
        <v>549</v>
      </c>
      <c r="C95" s="55" t="s">
        <v>550</v>
      </c>
      <c r="D95" s="56" t="s">
        <v>551</v>
      </c>
      <c r="E95" s="57" t="n">
        <v>1</v>
      </c>
      <c r="F95" s="56" t="s">
        <v>97</v>
      </c>
      <c r="G95" s="58" t="n">
        <v>12000</v>
      </c>
      <c r="H95" s="59" t="n">
        <f aca="false">E95*G95</f>
        <v>12000</v>
      </c>
      <c r="I95" s="59" t="n">
        <f aca="false">H95/(1-Summary!$G$11)</f>
        <v>20000</v>
      </c>
    </row>
    <row r="96" customFormat="false" ht="15" hidden="false" customHeight="false" outlineLevel="0" collapsed="false">
      <c r="B96" s="60"/>
      <c r="C96" s="61" t="s">
        <v>552</v>
      </c>
      <c r="D96" s="60"/>
      <c r="E96" s="60"/>
      <c r="F96" s="60"/>
      <c r="G96" s="60"/>
      <c r="H96" s="62" t="n">
        <f aca="false">SUM(H85:H95)</f>
        <v>84650</v>
      </c>
      <c r="I96" s="62" t="n">
        <f aca="false">SUM(I85:I95)</f>
        <v>141083.333333333</v>
      </c>
    </row>
  </sheetData>
  <mergeCells count="26">
    <mergeCell ref="B1:I1"/>
    <mergeCell ref="B2:I2"/>
    <mergeCell ref="B4:I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B23:I23"/>
    <mergeCell ref="B30:I30"/>
    <mergeCell ref="B35:I35"/>
    <mergeCell ref="B42:I42"/>
    <mergeCell ref="B52:I52"/>
    <mergeCell ref="B57:I57"/>
    <mergeCell ref="B64:I64"/>
    <mergeCell ref="B75:I75"/>
    <mergeCell ref="B84:I8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6" topLeftCell="I7" activePane="bottomRight" state="frozen"/>
      <selection pane="topLeft" activeCell="A1" activeCellId="0" sqref="A1"/>
      <selection pane="topRight" activeCell="I1" activeCellId="0" sqref="I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6" min="4" style="0" width="7"/>
    <col collapsed="false" customWidth="true" hidden="false" outlineLevel="0" max="8" min="7" style="0" width="10"/>
    <col collapsed="false" customWidth="true" hidden="false" outlineLevel="0" max="55" min="9" style="0" width="3.3"/>
  </cols>
  <sheetData>
    <row r="1" customFormat="false" ht="33.75" hidden="false" customHeight="true" outlineLevel="0" collapsed="false">
      <c r="A1" s="1"/>
      <c r="B1" s="2" t="s">
        <v>553</v>
      </c>
      <c r="C1" s="2"/>
      <c r="D1" s="2"/>
      <c r="E1" s="2"/>
      <c r="F1" s="2"/>
      <c r="G1" s="2"/>
      <c r="H1" s="1"/>
    </row>
    <row r="2" customFormat="false" ht="19.5" hidden="false" customHeight="true" outlineLevel="0" collapsed="false">
      <c r="A2" s="1"/>
      <c r="B2" s="3" t="s">
        <v>554</v>
      </c>
      <c r="C2" s="3"/>
      <c r="D2" s="3"/>
      <c r="E2" s="3"/>
      <c r="F2" s="3"/>
      <c r="G2" s="3"/>
      <c r="H2" s="1"/>
    </row>
    <row r="4" customFormat="false" ht="15" hidden="false" customHeight="false" outlineLevel="0" collapsed="false">
      <c r="B4" s="14" t="s">
        <v>555</v>
      </c>
      <c r="E4" s="70" t="n">
        <v>46398</v>
      </c>
      <c r="F4" s="70"/>
      <c r="G4" s="70"/>
    </row>
    <row r="5" customFormat="false" ht="15" hidden="false" customHeight="false" outlineLevel="0" collapsed="false">
      <c r="I5" s="71" t="str">
        <f aca="false">TEXT($E$4+(I6-1)*7,"mmm d")</f>
        <v>Nov 16</v>
      </c>
      <c r="M5" s="71" t="str">
        <f aca="false">TEXT($E$4+(M6-1)*7,"mmm d")</f>
        <v>Dec 14</v>
      </c>
      <c r="Q5" s="71" t="str">
        <f aca="false">TEXT($E$4+(Q6-1)*7,"mmm d")</f>
        <v>Jan 11</v>
      </c>
      <c r="U5" s="71" t="str">
        <f aca="false">TEXT($E$4+(U6-1)*7,"mmm d")</f>
        <v>Feb 8</v>
      </c>
      <c r="Y5" s="71" t="str">
        <f aca="false">TEXT($E$4+(Y6-1)*7,"mmm d")</f>
        <v>Mar 8</v>
      </c>
      <c r="AC5" s="71" t="str">
        <f aca="false">TEXT($E$4+(AC6-1)*7,"mmm d")</f>
        <v>Apr 5</v>
      </c>
      <c r="AG5" s="71" t="str">
        <f aca="false">TEXT($E$4+(AG6-1)*7,"mmm d")</f>
        <v>May 3</v>
      </c>
      <c r="AK5" s="71" t="str">
        <f aca="false">TEXT($E$4+(AK6-1)*7,"mmm d")</f>
        <v>May 31</v>
      </c>
      <c r="AO5" s="71" t="str">
        <f aca="false">TEXT($E$4+(AO6-1)*7,"mmm d")</f>
        <v>Jun 28</v>
      </c>
      <c r="AS5" s="71" t="str">
        <f aca="false">TEXT($E$4+(AS6-1)*7,"mmm d")</f>
        <v>Jul 26</v>
      </c>
      <c r="AW5" s="71" t="str">
        <f aca="false">TEXT($E$4+(AW6-1)*7,"mmm d")</f>
        <v>Aug 23</v>
      </c>
      <c r="BA5" s="71" t="str">
        <f aca="false">TEXT($E$4+(BA6-1)*7,"mmm d")</f>
        <v>Sep 20</v>
      </c>
    </row>
    <row r="6" customFormat="false" ht="24" hidden="false" customHeight="true" outlineLevel="0" collapsed="false">
      <c r="B6" s="21" t="s">
        <v>556</v>
      </c>
      <c r="C6" s="21" t="s">
        <v>557</v>
      </c>
      <c r="D6" s="21" t="s">
        <v>558</v>
      </c>
      <c r="E6" s="21" t="s">
        <v>559</v>
      </c>
      <c r="F6" s="21" t="s">
        <v>560</v>
      </c>
      <c r="G6" s="21" t="s">
        <v>561</v>
      </c>
      <c r="H6" s="21" t="s">
        <v>562</v>
      </c>
      <c r="I6" s="72" t="n">
        <v>-7</v>
      </c>
      <c r="J6" s="72" t="n">
        <v>-6</v>
      </c>
      <c r="K6" s="72" t="n">
        <v>-5</v>
      </c>
      <c r="L6" s="72" t="n">
        <v>-4</v>
      </c>
      <c r="M6" s="72" t="n">
        <v>-3</v>
      </c>
      <c r="N6" s="72" t="n">
        <v>-2</v>
      </c>
      <c r="O6" s="72" t="n">
        <v>-1</v>
      </c>
      <c r="P6" s="72" t="n">
        <v>0</v>
      </c>
      <c r="Q6" s="72" t="n">
        <v>1</v>
      </c>
      <c r="R6" s="72" t="n">
        <v>2</v>
      </c>
      <c r="S6" s="72" t="n">
        <v>3</v>
      </c>
      <c r="T6" s="72" t="n">
        <v>4</v>
      </c>
      <c r="U6" s="72" t="n">
        <v>5</v>
      </c>
      <c r="V6" s="72" t="n">
        <v>6</v>
      </c>
      <c r="W6" s="72" t="n">
        <v>7</v>
      </c>
      <c r="X6" s="72" t="n">
        <v>8</v>
      </c>
      <c r="Y6" s="72" t="n">
        <v>9</v>
      </c>
      <c r="Z6" s="72" t="n">
        <v>10</v>
      </c>
      <c r="AA6" s="72" t="n">
        <v>11</v>
      </c>
      <c r="AB6" s="72" t="n">
        <v>12</v>
      </c>
      <c r="AC6" s="72" t="n">
        <v>13</v>
      </c>
      <c r="AD6" s="72" t="n">
        <v>14</v>
      </c>
      <c r="AE6" s="72" t="n">
        <v>15</v>
      </c>
      <c r="AF6" s="72" t="n">
        <v>16</v>
      </c>
      <c r="AG6" s="72" t="n">
        <v>17</v>
      </c>
      <c r="AH6" s="72" t="n">
        <v>18</v>
      </c>
      <c r="AI6" s="72" t="n">
        <v>19</v>
      </c>
      <c r="AJ6" s="72" t="n">
        <v>20</v>
      </c>
      <c r="AK6" s="72" t="n">
        <v>21</v>
      </c>
      <c r="AL6" s="72" t="n">
        <v>22</v>
      </c>
      <c r="AM6" s="72" t="n">
        <v>23</v>
      </c>
      <c r="AN6" s="72" t="n">
        <v>24</v>
      </c>
      <c r="AO6" s="72" t="n">
        <v>25</v>
      </c>
      <c r="AP6" s="72" t="n">
        <v>26</v>
      </c>
      <c r="AQ6" s="72" t="n">
        <v>27</v>
      </c>
      <c r="AR6" s="72" t="n">
        <v>28</v>
      </c>
      <c r="AS6" s="72" t="n">
        <v>29</v>
      </c>
      <c r="AT6" s="72" t="n">
        <v>30</v>
      </c>
      <c r="AU6" s="72" t="n">
        <v>31</v>
      </c>
      <c r="AV6" s="72" t="n">
        <v>32</v>
      </c>
      <c r="AW6" s="72" t="n">
        <v>33</v>
      </c>
      <c r="AX6" s="72" t="n">
        <v>34</v>
      </c>
      <c r="AY6" s="72" t="n">
        <v>35</v>
      </c>
      <c r="AZ6" s="72" t="n">
        <v>36</v>
      </c>
      <c r="BA6" s="72" t="n">
        <v>37</v>
      </c>
      <c r="BB6" s="72" t="n">
        <v>38</v>
      </c>
      <c r="BC6" s="72" t="n">
        <v>39</v>
      </c>
    </row>
    <row r="7" customFormat="false" ht="15" hidden="false" customHeight="false" outlineLevel="0" collapsed="false">
      <c r="B7" s="73" t="s">
        <v>563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</row>
    <row r="8" customFormat="false" ht="15" hidden="false" customHeight="false" outlineLevel="0" collapsed="false">
      <c r="B8" s="75" t="s">
        <v>564</v>
      </c>
      <c r="C8" s="76" t="s">
        <v>565</v>
      </c>
      <c r="D8" s="77" t="n">
        <v>-7</v>
      </c>
      <c r="E8" s="77" t="n">
        <v>8</v>
      </c>
      <c r="F8" s="78" t="n">
        <f aca="false">D8+E8-1</f>
        <v>0</v>
      </c>
      <c r="G8" s="79" t="n">
        <f aca="false">$E$4+(D8-1)*7</f>
        <v>46342</v>
      </c>
      <c r="H8" s="79" t="n">
        <f aca="false">$E$4+(F8-1)*7+4</f>
        <v>46395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</row>
    <row r="9" customFormat="false" ht="15" hidden="false" customHeight="false" outlineLevel="0" collapsed="false">
      <c r="B9" s="73" t="s">
        <v>566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</row>
    <row r="10" customFormat="false" ht="15" hidden="false" customHeight="false" outlineLevel="0" collapsed="false">
      <c r="B10" s="75" t="s">
        <v>567</v>
      </c>
      <c r="C10" s="76" t="s">
        <v>568</v>
      </c>
      <c r="D10" s="77" t="n">
        <v>1</v>
      </c>
      <c r="E10" s="77" t="n">
        <v>1</v>
      </c>
      <c r="F10" s="78" t="n">
        <f aca="false">D10+E10-1</f>
        <v>1</v>
      </c>
      <c r="G10" s="79" t="n">
        <f aca="false">$E$4+(D10-1)*7</f>
        <v>46398</v>
      </c>
      <c r="H10" s="79" t="n">
        <f aca="false">$E$4+(F10-1)*7+4</f>
        <v>46402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customFormat="false" ht="15" hidden="false" customHeight="false" outlineLevel="0" collapsed="false">
      <c r="B11" s="75" t="s">
        <v>569</v>
      </c>
      <c r="C11" s="76" t="s">
        <v>570</v>
      </c>
      <c r="D11" s="77" t="n">
        <v>1</v>
      </c>
      <c r="E11" s="77" t="n">
        <v>1</v>
      </c>
      <c r="F11" s="78" t="n">
        <f aca="false">D11+E11-1</f>
        <v>1</v>
      </c>
      <c r="G11" s="79" t="n">
        <f aca="false">$E$4+(D11-1)*7</f>
        <v>46398</v>
      </c>
      <c r="H11" s="79" t="n">
        <f aca="false">$E$4+(F11-1)*7+4</f>
        <v>46402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</row>
    <row r="12" customFormat="false" ht="15" hidden="false" customHeight="false" outlineLevel="0" collapsed="false">
      <c r="B12" s="75" t="s">
        <v>571</v>
      </c>
      <c r="C12" s="76" t="s">
        <v>572</v>
      </c>
      <c r="D12" s="77" t="n">
        <v>2</v>
      </c>
      <c r="E12" s="77" t="n">
        <v>2</v>
      </c>
      <c r="F12" s="78" t="n">
        <f aca="false">D12+E12-1</f>
        <v>3</v>
      </c>
      <c r="G12" s="79" t="n">
        <f aca="false">$E$4+(D12-1)*7</f>
        <v>46405</v>
      </c>
      <c r="H12" s="79" t="n">
        <f aca="false">$E$4+(F12-1)*7+4</f>
        <v>46416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</row>
    <row r="13" customFormat="false" ht="15" hidden="false" customHeight="false" outlineLevel="0" collapsed="false">
      <c r="B13" s="75" t="s">
        <v>573</v>
      </c>
      <c r="C13" s="76" t="s">
        <v>574</v>
      </c>
      <c r="D13" s="77" t="n">
        <v>4</v>
      </c>
      <c r="E13" s="77" t="n">
        <v>1</v>
      </c>
      <c r="F13" s="78" t="n">
        <f aca="false">D13+E13-1</f>
        <v>4</v>
      </c>
      <c r="G13" s="79" t="n">
        <f aca="false">$E$4+(D13-1)*7</f>
        <v>46419</v>
      </c>
      <c r="H13" s="79" t="n">
        <f aca="false">$E$4+(F13-1)*7+4</f>
        <v>46423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</row>
    <row r="14" customFormat="false" ht="15" hidden="false" customHeight="false" outlineLevel="0" collapsed="false">
      <c r="B14" s="75" t="s">
        <v>575</v>
      </c>
      <c r="C14" s="76" t="s">
        <v>576</v>
      </c>
      <c r="D14" s="77" t="n">
        <v>5</v>
      </c>
      <c r="E14" s="77" t="n">
        <v>1</v>
      </c>
      <c r="F14" s="78" t="n">
        <f aca="false">D14+E14-1</f>
        <v>5</v>
      </c>
      <c r="G14" s="79" t="n">
        <f aca="false">$E$4+(D14-1)*7</f>
        <v>46426</v>
      </c>
      <c r="H14" s="79" t="n">
        <f aca="false">$E$4+(F14-1)*7+4</f>
        <v>46430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</row>
    <row r="15" customFormat="false" ht="15" hidden="false" customHeight="false" outlineLevel="0" collapsed="false">
      <c r="B15" s="75" t="s">
        <v>577</v>
      </c>
      <c r="C15" s="76" t="s">
        <v>576</v>
      </c>
      <c r="D15" s="77" t="n">
        <v>6</v>
      </c>
      <c r="E15" s="77" t="n">
        <v>2</v>
      </c>
      <c r="F15" s="78" t="n">
        <f aca="false">D15+E15-1</f>
        <v>7</v>
      </c>
      <c r="G15" s="79" t="n">
        <f aca="false">$E$4+(D15-1)*7</f>
        <v>46433</v>
      </c>
      <c r="H15" s="79" t="n">
        <f aca="false">$E$4+(F15-1)*7+4</f>
        <v>46444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</row>
    <row r="16" customFormat="false" ht="15" hidden="false" customHeight="false" outlineLevel="0" collapsed="false">
      <c r="B16" s="75" t="s">
        <v>578</v>
      </c>
      <c r="C16" s="76" t="s">
        <v>579</v>
      </c>
      <c r="D16" s="77" t="n">
        <v>8</v>
      </c>
      <c r="E16" s="77" t="n">
        <v>1</v>
      </c>
      <c r="F16" s="78" t="n">
        <f aca="false">D16+E16-1</f>
        <v>8</v>
      </c>
      <c r="G16" s="79" t="n">
        <f aca="false">$E$4+(D16-1)*7</f>
        <v>46447</v>
      </c>
      <c r="H16" s="79" t="n">
        <f aca="false">$E$4+(F16-1)*7+4</f>
        <v>46451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</row>
    <row r="17" customFormat="false" ht="15" hidden="false" customHeight="false" outlineLevel="0" collapsed="false">
      <c r="B17" s="75" t="s">
        <v>580</v>
      </c>
      <c r="C17" s="76" t="s">
        <v>581</v>
      </c>
      <c r="D17" s="77" t="n">
        <v>9</v>
      </c>
      <c r="E17" s="77" t="n">
        <v>1</v>
      </c>
      <c r="F17" s="78" t="n">
        <f aca="false">D17+E17-1</f>
        <v>9</v>
      </c>
      <c r="G17" s="79" t="n">
        <f aca="false">$E$4+(D17-1)*7</f>
        <v>46454</v>
      </c>
      <c r="H17" s="79" t="n">
        <f aca="false">$E$4+(F17-1)*7+4</f>
        <v>46458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</row>
    <row r="18" customFormat="false" ht="15" hidden="false" customHeight="false" outlineLevel="0" collapsed="false">
      <c r="B18" s="75" t="s">
        <v>582</v>
      </c>
      <c r="C18" s="76" t="s">
        <v>583</v>
      </c>
      <c r="D18" s="77" t="n">
        <v>10</v>
      </c>
      <c r="E18" s="77" t="n">
        <v>5</v>
      </c>
      <c r="F18" s="78" t="n">
        <f aca="false">D18+E18-1</f>
        <v>14</v>
      </c>
      <c r="G18" s="79" t="n">
        <f aca="false">$E$4+(D18-1)*7</f>
        <v>46461</v>
      </c>
      <c r="H18" s="79" t="n">
        <f aca="false">$E$4+(F18-1)*7+4</f>
        <v>46493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</row>
    <row r="19" customFormat="false" ht="15" hidden="false" customHeight="false" outlineLevel="0" collapsed="false">
      <c r="B19" s="75" t="s">
        <v>584</v>
      </c>
      <c r="C19" s="76" t="s">
        <v>585</v>
      </c>
      <c r="D19" s="77" t="n">
        <v>14</v>
      </c>
      <c r="E19" s="77" t="n">
        <v>1</v>
      </c>
      <c r="F19" s="78" t="n">
        <f aca="false">D19+E19-1</f>
        <v>14</v>
      </c>
      <c r="G19" s="79" t="n">
        <f aca="false">$E$4+(D19-1)*7</f>
        <v>46489</v>
      </c>
      <c r="H19" s="79" t="n">
        <f aca="false">$E$4+(F19-1)*7+4</f>
        <v>46493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</row>
    <row r="20" customFormat="false" ht="15" hidden="false" customHeight="false" outlineLevel="0" collapsed="false">
      <c r="B20" s="75" t="s">
        <v>586</v>
      </c>
      <c r="C20" s="76" t="s">
        <v>587</v>
      </c>
      <c r="D20" s="77" t="n">
        <v>15</v>
      </c>
      <c r="E20" s="77" t="n">
        <v>2</v>
      </c>
      <c r="F20" s="78" t="n">
        <f aca="false">D20+E20-1</f>
        <v>16</v>
      </c>
      <c r="G20" s="79" t="n">
        <f aca="false">$E$4+(D20-1)*7</f>
        <v>46496</v>
      </c>
      <c r="H20" s="79" t="n">
        <f aca="false">$E$4+(F20-1)*7+4</f>
        <v>46507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</row>
    <row r="21" customFormat="false" ht="15" hidden="false" customHeight="false" outlineLevel="0" collapsed="false">
      <c r="B21" s="75" t="s">
        <v>588</v>
      </c>
      <c r="C21" s="76" t="s">
        <v>589</v>
      </c>
      <c r="D21" s="77" t="n">
        <v>15</v>
      </c>
      <c r="E21" s="77" t="n">
        <v>2</v>
      </c>
      <c r="F21" s="78" t="n">
        <f aca="false">D21+E21-1</f>
        <v>16</v>
      </c>
      <c r="G21" s="79" t="n">
        <f aca="false">$E$4+(D21-1)*7</f>
        <v>46496</v>
      </c>
      <c r="H21" s="79" t="n">
        <f aca="false">$E$4+(F21-1)*7+4</f>
        <v>46507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</row>
    <row r="22" customFormat="false" ht="15" hidden="false" customHeight="false" outlineLevel="0" collapsed="false">
      <c r="B22" s="75" t="s">
        <v>590</v>
      </c>
      <c r="C22" s="76" t="s">
        <v>591</v>
      </c>
      <c r="D22" s="77" t="n">
        <v>16</v>
      </c>
      <c r="E22" s="77" t="n">
        <v>4</v>
      </c>
      <c r="F22" s="78" t="n">
        <f aca="false">D22+E22-1</f>
        <v>19</v>
      </c>
      <c r="G22" s="79" t="n">
        <f aca="false">$E$4+(D22-1)*7</f>
        <v>46503</v>
      </c>
      <c r="H22" s="79" t="n">
        <f aca="false">$E$4+(F22-1)*7+4</f>
        <v>46528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</row>
    <row r="23" customFormat="false" ht="15" hidden="false" customHeight="false" outlineLevel="0" collapsed="false">
      <c r="B23" s="75" t="s">
        <v>592</v>
      </c>
      <c r="C23" s="76" t="s">
        <v>593</v>
      </c>
      <c r="D23" s="77" t="n">
        <v>17</v>
      </c>
      <c r="E23" s="77" t="n">
        <v>1</v>
      </c>
      <c r="F23" s="78" t="n">
        <f aca="false">D23+E23-1</f>
        <v>17</v>
      </c>
      <c r="G23" s="79" t="n">
        <f aca="false">$E$4+(D23-1)*7</f>
        <v>46510</v>
      </c>
      <c r="H23" s="79" t="n">
        <f aca="false">$E$4+(F23-1)*7+4</f>
        <v>46514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</row>
    <row r="24" customFormat="false" ht="15" hidden="false" customHeight="false" outlineLevel="0" collapsed="false">
      <c r="B24" s="75" t="s">
        <v>594</v>
      </c>
      <c r="C24" s="76" t="s">
        <v>595</v>
      </c>
      <c r="D24" s="77" t="n">
        <v>17</v>
      </c>
      <c r="E24" s="77" t="n">
        <v>6</v>
      </c>
      <c r="F24" s="78" t="n">
        <f aca="false">D24+E24-1</f>
        <v>22</v>
      </c>
      <c r="G24" s="79" t="n">
        <f aca="false">$E$4+(D24-1)*7</f>
        <v>46510</v>
      </c>
      <c r="H24" s="79" t="n">
        <f aca="false">$E$4+(F24-1)*7+4</f>
        <v>46549</v>
      </c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</row>
    <row r="25" customFormat="false" ht="15" hidden="false" customHeight="false" outlineLevel="0" collapsed="false">
      <c r="B25" s="75" t="s">
        <v>596</v>
      </c>
      <c r="C25" s="76" t="s">
        <v>597</v>
      </c>
      <c r="D25" s="77" t="n">
        <v>20</v>
      </c>
      <c r="E25" s="77" t="n">
        <v>1</v>
      </c>
      <c r="F25" s="78" t="n">
        <f aca="false">D25+E25-1</f>
        <v>20</v>
      </c>
      <c r="G25" s="79" t="n">
        <f aca="false">$E$4+(D25-1)*7</f>
        <v>46531</v>
      </c>
      <c r="H25" s="79" t="n">
        <f aca="false">$E$4+(F25-1)*7+4</f>
        <v>46535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</row>
    <row r="26" customFormat="false" ht="15" hidden="false" customHeight="false" outlineLevel="0" collapsed="false">
      <c r="B26" s="75" t="s">
        <v>598</v>
      </c>
      <c r="C26" s="76" t="s">
        <v>599</v>
      </c>
      <c r="D26" s="77" t="n">
        <v>21</v>
      </c>
      <c r="E26" s="77" t="n">
        <v>2</v>
      </c>
      <c r="F26" s="78" t="n">
        <f aca="false">D26+E26-1</f>
        <v>22</v>
      </c>
      <c r="G26" s="79" t="n">
        <f aca="false">$E$4+(D26-1)*7</f>
        <v>46538</v>
      </c>
      <c r="H26" s="79" t="n">
        <f aca="false">$E$4+(F26-1)*7+4</f>
        <v>46549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</row>
    <row r="27" customFormat="false" ht="15" hidden="false" customHeight="false" outlineLevel="0" collapsed="false">
      <c r="B27" s="75" t="s">
        <v>600</v>
      </c>
      <c r="C27" s="76" t="s">
        <v>601</v>
      </c>
      <c r="D27" s="77" t="n">
        <v>23</v>
      </c>
      <c r="E27" s="77" t="n">
        <v>1</v>
      </c>
      <c r="F27" s="78" t="n">
        <f aca="false">D27+E27-1</f>
        <v>23</v>
      </c>
      <c r="G27" s="79" t="n">
        <f aca="false">$E$4+(D27-1)*7</f>
        <v>46552</v>
      </c>
      <c r="H27" s="79" t="n">
        <f aca="false">$E$4+(F27-1)*7+4</f>
        <v>46556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</row>
    <row r="28" customFormat="false" ht="15" hidden="false" customHeight="false" outlineLevel="0" collapsed="false">
      <c r="B28" s="75" t="s">
        <v>602</v>
      </c>
      <c r="C28" s="76" t="s">
        <v>603</v>
      </c>
      <c r="D28" s="77" t="n">
        <v>23</v>
      </c>
      <c r="E28" s="77" t="n">
        <v>4</v>
      </c>
      <c r="F28" s="78" t="n">
        <f aca="false">D28+E28-1</f>
        <v>26</v>
      </c>
      <c r="G28" s="79" t="n">
        <f aca="false">$E$4+(D28-1)*7</f>
        <v>46552</v>
      </c>
      <c r="H28" s="79" t="n">
        <f aca="false">$E$4+(F28-1)*7+4</f>
        <v>46577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</row>
    <row r="29" customFormat="false" ht="15" hidden="false" customHeight="false" outlineLevel="0" collapsed="false">
      <c r="B29" s="81" t="s">
        <v>604</v>
      </c>
      <c r="C29" s="76" t="s">
        <v>568</v>
      </c>
      <c r="D29" s="77" t="n">
        <v>27</v>
      </c>
      <c r="E29" s="77" t="n">
        <v>1</v>
      </c>
      <c r="F29" s="78" t="n">
        <f aca="false">D29+E29-1</f>
        <v>27</v>
      </c>
      <c r="G29" s="79" t="n">
        <f aca="false">$E$4+(D29-1)*7</f>
        <v>46580</v>
      </c>
      <c r="H29" s="79" t="n">
        <f aca="false">$E$4+(F29-1)*7+4</f>
        <v>46584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</row>
    <row r="30" customFormat="false" ht="15" hidden="false" customHeight="false" outlineLevel="0" collapsed="false">
      <c r="B30" s="73" t="s">
        <v>605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</row>
    <row r="31" customFormat="false" ht="15" hidden="false" customHeight="false" outlineLevel="0" collapsed="false">
      <c r="B31" s="75" t="s">
        <v>606</v>
      </c>
      <c r="C31" s="76" t="s">
        <v>607</v>
      </c>
      <c r="D31" s="77" t="n">
        <v>28</v>
      </c>
      <c r="E31" s="77" t="n">
        <v>3</v>
      </c>
      <c r="F31" s="78" t="n">
        <f aca="false">D31+E31-1</f>
        <v>30</v>
      </c>
      <c r="G31" s="79" t="n">
        <f aca="false">$E$4+(D31-1)*7</f>
        <v>46587</v>
      </c>
      <c r="H31" s="79" t="n">
        <f aca="false">$E$4+(F31-1)*7+4</f>
        <v>46605</v>
      </c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</row>
    <row r="32" customFormat="false" ht="15" hidden="false" customHeight="false" outlineLevel="0" collapsed="false">
      <c r="B32" s="75" t="s">
        <v>608</v>
      </c>
      <c r="C32" s="76" t="s">
        <v>609</v>
      </c>
      <c r="D32" s="77" t="n">
        <v>28</v>
      </c>
      <c r="E32" s="77" t="n">
        <v>4</v>
      </c>
      <c r="F32" s="78" t="n">
        <f aca="false">D32+E32-1</f>
        <v>31</v>
      </c>
      <c r="G32" s="79" t="n">
        <f aca="false">$E$4+(D32-1)*7</f>
        <v>46587</v>
      </c>
      <c r="H32" s="79" t="n">
        <f aca="false">$E$4+(F32-1)*7+4</f>
        <v>46612</v>
      </c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</row>
    <row r="33" customFormat="false" ht="15" hidden="false" customHeight="false" outlineLevel="0" collapsed="false">
      <c r="B33" s="75" t="s">
        <v>610</v>
      </c>
      <c r="C33" s="76" t="s">
        <v>611</v>
      </c>
      <c r="D33" s="77" t="n">
        <v>30</v>
      </c>
      <c r="E33" s="77" t="n">
        <v>4</v>
      </c>
      <c r="F33" s="78" t="n">
        <f aca="false">D33+E33-1</f>
        <v>33</v>
      </c>
      <c r="G33" s="79" t="n">
        <f aca="false">$E$4+(D33-1)*7</f>
        <v>46601</v>
      </c>
      <c r="H33" s="79" t="n">
        <f aca="false">$E$4+(F33-1)*7+4</f>
        <v>46626</v>
      </c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</row>
    <row r="34" customFormat="false" ht="15" hidden="false" customHeight="false" outlineLevel="0" collapsed="false">
      <c r="B34" s="75" t="s">
        <v>612</v>
      </c>
      <c r="C34" s="76" t="s">
        <v>613</v>
      </c>
      <c r="D34" s="77" t="n">
        <v>33</v>
      </c>
      <c r="E34" s="77" t="n">
        <v>2</v>
      </c>
      <c r="F34" s="78" t="n">
        <f aca="false">D34+E34-1</f>
        <v>34</v>
      </c>
      <c r="G34" s="79" t="n">
        <f aca="false">$E$4+(D34-1)*7</f>
        <v>46622</v>
      </c>
      <c r="H34" s="79" t="n">
        <f aca="false">$E$4+(F34-1)*7+4</f>
        <v>46633</v>
      </c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</row>
    <row r="35" customFormat="false" ht="15" hidden="false" customHeight="false" outlineLevel="0" collapsed="false">
      <c r="B35" s="75" t="s">
        <v>614</v>
      </c>
      <c r="C35" s="76" t="s">
        <v>591</v>
      </c>
      <c r="D35" s="77" t="n">
        <v>34</v>
      </c>
      <c r="E35" s="77" t="n">
        <v>2</v>
      </c>
      <c r="F35" s="78" t="n">
        <f aca="false">D35+E35-1</f>
        <v>35</v>
      </c>
      <c r="G35" s="79" t="n">
        <f aca="false">$E$4+(D35-1)*7</f>
        <v>46629</v>
      </c>
      <c r="H35" s="79" t="n">
        <f aca="false">$E$4+(F35-1)*7+4</f>
        <v>46640</v>
      </c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</row>
    <row r="36" customFormat="false" ht="15" hidden="false" customHeight="false" outlineLevel="0" collapsed="false">
      <c r="B36" s="75" t="s">
        <v>615</v>
      </c>
      <c r="C36" s="76" t="s">
        <v>616</v>
      </c>
      <c r="D36" s="77" t="n">
        <v>34</v>
      </c>
      <c r="E36" s="77" t="n">
        <v>3</v>
      </c>
      <c r="F36" s="78" t="n">
        <f aca="false">D36+E36-1</f>
        <v>36</v>
      </c>
      <c r="G36" s="79" t="n">
        <f aca="false">$E$4+(D36-1)*7</f>
        <v>46629</v>
      </c>
      <c r="H36" s="79" t="n">
        <f aca="false">$E$4+(F36-1)*7+4</f>
        <v>46647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</row>
    <row r="37" customFormat="false" ht="15" hidden="false" customHeight="false" outlineLevel="0" collapsed="false">
      <c r="B37" s="75" t="s">
        <v>617</v>
      </c>
      <c r="C37" s="76" t="s">
        <v>618</v>
      </c>
      <c r="D37" s="77" t="n">
        <v>37</v>
      </c>
      <c r="E37" s="77" t="n">
        <v>2</v>
      </c>
      <c r="F37" s="78" t="n">
        <f aca="false">D37+E37-1</f>
        <v>38</v>
      </c>
      <c r="G37" s="79" t="n">
        <f aca="false">$E$4+(D37-1)*7</f>
        <v>46650</v>
      </c>
      <c r="H37" s="79" t="n">
        <f aca="false">$E$4+(F37-1)*7+4</f>
        <v>46661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</row>
    <row r="38" customFormat="false" ht="15" hidden="false" customHeight="false" outlineLevel="0" collapsed="false">
      <c r="B38" s="75" t="s">
        <v>619</v>
      </c>
      <c r="C38" s="76" t="s">
        <v>568</v>
      </c>
      <c r="D38" s="77" t="n">
        <v>39</v>
      </c>
      <c r="E38" s="77" t="n">
        <v>1</v>
      </c>
      <c r="F38" s="78" t="n">
        <f aca="false">D38+E38-1</f>
        <v>39</v>
      </c>
      <c r="G38" s="79" t="n">
        <f aca="false">$E$4+(D38-1)*7</f>
        <v>46664</v>
      </c>
      <c r="H38" s="79" t="n">
        <f aca="false">$E$4+(F38-1)*7+4</f>
        <v>46668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</row>
    <row r="40" customFormat="false" ht="19.5" hidden="false" customHeight="true" outlineLevel="0" collapsed="false">
      <c r="B40" s="10" t="s">
        <v>620</v>
      </c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B41" s="82" t="s">
        <v>621</v>
      </c>
      <c r="C41" s="80"/>
      <c r="D41" s="80"/>
      <c r="E41" s="80"/>
      <c r="F41" s="80"/>
      <c r="G41" s="83" t="n">
        <f aca="false">E4</f>
        <v>46398</v>
      </c>
      <c r="H41" s="83"/>
    </row>
    <row r="42" customFormat="false" ht="15" hidden="false" customHeight="false" outlineLevel="0" collapsed="false">
      <c r="B42" s="82" t="s">
        <v>622</v>
      </c>
      <c r="C42" s="80"/>
      <c r="D42" s="80"/>
      <c r="E42" s="80"/>
      <c r="F42" s="80"/>
      <c r="G42" s="83" t="n">
        <f aca="false">$E$4+8*7+4</f>
        <v>46458</v>
      </c>
      <c r="H42" s="83"/>
    </row>
    <row r="43" customFormat="false" ht="15" hidden="false" customHeight="false" outlineLevel="0" collapsed="false">
      <c r="B43" s="82" t="s">
        <v>623</v>
      </c>
      <c r="C43" s="80"/>
      <c r="D43" s="80"/>
      <c r="E43" s="80"/>
      <c r="F43" s="80"/>
      <c r="G43" s="83" t="n">
        <f aca="false">$E$4+15*7+4</f>
        <v>46507</v>
      </c>
      <c r="H43" s="83"/>
    </row>
    <row r="44" customFormat="false" ht="15" hidden="false" customHeight="false" outlineLevel="0" collapsed="false">
      <c r="B44" s="84" t="s">
        <v>624</v>
      </c>
      <c r="C44" s="85"/>
      <c r="D44" s="85"/>
      <c r="E44" s="85"/>
      <c r="F44" s="85"/>
      <c r="G44" s="86" t="n">
        <f aca="false">$E$4+26*7+4</f>
        <v>46584</v>
      </c>
      <c r="H44" s="86"/>
    </row>
    <row r="45" customFormat="false" ht="15" hidden="false" customHeight="false" outlineLevel="0" collapsed="false">
      <c r="B45" s="82" t="s">
        <v>625</v>
      </c>
      <c r="C45" s="80"/>
      <c r="D45" s="80"/>
      <c r="E45" s="80"/>
      <c r="F45" s="80"/>
      <c r="G45" s="83" t="n">
        <f aca="false">$E$4+38*7+4</f>
        <v>46668</v>
      </c>
      <c r="H45" s="83"/>
    </row>
  </sheetData>
  <mergeCells count="9">
    <mergeCell ref="B1:G1"/>
    <mergeCell ref="B2:G2"/>
    <mergeCell ref="E4:G4"/>
    <mergeCell ref="B40:H40"/>
    <mergeCell ref="G41:H41"/>
    <mergeCell ref="G42:H42"/>
    <mergeCell ref="G43:H43"/>
    <mergeCell ref="G44:H44"/>
    <mergeCell ref="G45:H45"/>
  </mergeCells>
  <conditionalFormatting sqref="I7:BC29">
    <cfRule type="expression" priority="2" aboveAverage="0" equalAverage="0" bottom="0" percent="0" rank="0" text="" dxfId="0">
      <formula>AND(ISNUMBER($D7),I$6&gt;=$D7,I$6&lt;=$F7)</formula>
    </cfRule>
  </conditionalFormatting>
  <conditionalFormatting sqref="I30:BC38">
    <cfRule type="expression" priority="3" aboveAverage="0" equalAverage="0" bottom="0" percent="0" rank="0" text="" dxfId="1">
      <formula>AND(ISNUMBER($D30),I$6&gt;=$D30,I$6&lt;=$F30)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2026-10-21T14:39:13Z</dcterms:created>
  <dc:creator>openpyxl</dc:creator>
  <dc:description/>
  <dc:language>en-US</dc:language>
  <cp:lastModifiedBy/>
  <dcterms:modified xsi:type="dcterms:W3CDTF">2026-10-21T14:39:13Z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