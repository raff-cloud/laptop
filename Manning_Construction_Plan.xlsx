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xl/comments4.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6.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truction Plan" sheetId="1" state="visible" r:id="rId3"/>
    <sheet name="Schedule" sheetId="2" state="visible" r:id="rId4"/>
    <sheet name="Payment Schedule" sheetId="3" state="visible" r:id="rId5"/>
    <sheet name="Leveling" sheetId="4" state="visible" r:id="rId6"/>
    <sheet name="Inputs" sheetId="5" state="visible" r:id="rId7"/>
    <sheet name="All Bids" sheetId="6" state="visible" r:id="rId8"/>
  </sheet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Unknown Author</author>
  </authors>
  <commentList>
    <comment ref="A6" authorId="0">
      <text>
        <r>
          <rPr>
            <sz val="10"/>
            <rFont val="Arial"/>
            <family val="2"/>
          </rPr>
          <t xml:space="preserve">Renomar's $57,100 covers General Works + Demo, so demo is $0 in the Current column. In the Fabiano scenario, demo is $0 if Inputs says his price includes it; otherwise the demo cost from Inputs is added.</t>
        </r>
      </text>
    </comment>
    <comment ref="A14" authorId="0">
      <text>
        <r>
          <rPr>
            <sz val="10"/>
            <rFont val="Arial"/>
            <family val="2"/>
          </rPr>
          <t xml:space="preserve">No quote yet. Budget is carried at cost in both columns until rental quotes come in.</t>
        </r>
      </text>
    </comment>
    <comment ref="A21" authorId="0">
      <text>
        <r>
          <rPr>
            <sz val="10"/>
            <rFont val="Arial"/>
            <family val="2"/>
          </rPr>
          <t xml:space="preserve">Positive = over the cost target (bad). Zero or negative = within tolerance.</t>
        </r>
      </text>
    </comment>
    <comment ref="A36" authorId="0">
      <text>
        <r>
          <rPr>
            <sz val="10"/>
            <rFont val="Arial"/>
            <family val="2"/>
          </rPr>
          <t xml:space="preserve">Budget is the net brick delta over vinyl ($48,750 brick less $12,350 vinyl credit). Client told about $8,000.</t>
        </r>
      </text>
    </comment>
    <comment ref="A37" authorId="0">
      <text>
        <r>
          <rPr>
            <sz val="10"/>
            <rFont val="Arial"/>
            <family val="2"/>
          </rPr>
          <t xml:space="preserve">Client quoted about $3,600 sell.</t>
        </r>
      </text>
    </comment>
    <comment ref="A38" authorId="0">
      <text>
        <r>
          <rPr>
            <sz val="10"/>
            <rFont val="Arial"/>
            <family val="2"/>
          </rPr>
          <t xml:space="preserve">Client told $2K to $3K incl. labour; midpoint used. Aluplex $300 excluded as a partial price (see All Bids).</t>
        </r>
      </text>
    </comment>
    <comment ref="B40" authorId="0">
      <text>
        <r>
          <rPr>
            <sz val="10"/>
            <rFont val="Arial"/>
            <family val="2"/>
          </rPr>
          <t xml:space="preserve">Client budget for windows. Supply AND install are excluded from the contract (General Note 3). Window bids are tendered only so the client can order and we can lock the schedule.</t>
        </r>
      </text>
    </comment>
    <comment ref="E5" authorId="0">
      <text>
        <r>
          <rPr>
            <sz val="10"/>
            <rFont val="Arial"/>
            <family val="2"/>
          </rPr>
          <t xml:space="preserve">Renomar's approved bid covers General Works + Demo combined.</t>
        </r>
      </text>
    </comment>
    <comment ref="G11" authorId="0">
      <text>
        <r>
          <rPr>
            <sz val="10"/>
            <rFont val="Arial"/>
            <family val="2"/>
          </rPr>
          <t xml:space="preserve">When Safety is selected, the combo is compared against the Flat Roofing + Siding budgets combined ($25,760), and those two rows show no variance. The combo also includes the skylight.</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C33" authorId="0">
      <text>
        <r>
          <rPr>
            <sz val="10"/>
            <rFont val="Arial"/>
            <family val="2"/>
          </rPr>
          <t xml:space="preserve">Marked Approved in JobTread, but $300 looks like a partial price (unit only?). Excluded from the low-bid lookup. Change the status to Approved to include it.</t>
        </r>
      </text>
    </comment>
  </commentList>
</comments>
</file>

<file path=xl/sharedStrings.xml><?xml version="1.0" encoding="utf-8"?>
<sst xmlns="http://schemas.openxmlformats.org/spreadsheetml/2006/main" count="339" uniqueCount="273">
  <si>
    <t xml:space="preserve">439 Manning Ave: Construction Plan</t>
  </si>
  <si>
    <t xml:space="preserve">Kyle Luong &amp; Nancy Song | Third-floor rear addition + bedroom reconfiguration | PalmView Contracting Inc. | Prepared for Raff Di Palma</t>
  </si>
  <si>
    <t xml:space="preserve">PROJECT SUMMARY</t>
  </si>
  <si>
    <t xml:space="preserve">Address</t>
  </si>
  <si>
    <t xml:space="preserve">439 Manning Ave, Toronto, ON M6G 2V6</t>
  </si>
  <si>
    <t xml:space="preserve">JobTread job</t>
  </si>
  <si>
    <t xml:space="preserve">#5 Manning Ave: Home Addition</t>
  </si>
  <si>
    <t xml:space="preserve">Scope</t>
  </si>
  <si>
    <t xml:space="preserve">New ~245 sq ft third-floor rear lounge over the existing 2nd-storey flat roof, sitting room converted to a bedroom, hall. 405.66 sq ft finished. No foundation work, no plumbing.</t>
  </si>
  <si>
    <t xml:space="preserve">Contract signed</t>
  </si>
  <si>
    <t xml:space="preserve">New Addition Proposal, issued Apr 3, 2026 (JobTread doc #1)</t>
  </si>
  <si>
    <t xml:space="preserve">Excluded from base</t>
  </si>
  <si>
    <t xml:space="preserve">Windows and exterior doors (supply + install), and all finish materials: hardwood, interior doors, hardware. Client-paid.</t>
  </si>
  <si>
    <t xml:space="preserve">Project manager</t>
  </si>
  <si>
    <t xml:space="preserve">David Magarici</t>
  </si>
  <si>
    <t xml:space="preserve">Architect / design</t>
  </si>
  <si>
    <t xml:space="preserve">Pino (La Vecchia Designs)</t>
  </si>
  <si>
    <t xml:space="preserve">STATUS (as of Oct 20, 2026)</t>
  </si>
  <si>
    <t xml:space="preserve">Item</t>
  </si>
  <si>
    <t xml:space="preserve">Detail</t>
  </si>
  <si>
    <t xml:space="preserve">Status</t>
  </si>
  <si>
    <t xml:space="preserve">Committee of Adjustment</t>
  </si>
  <si>
    <t xml:space="preserve">Approved Sep 23, 2026 (client notified Sep 25). Neighbour support letters on file.</t>
  </si>
  <si>
    <t xml:space="preserve">Done</t>
  </si>
  <si>
    <t xml:space="preserve">Zoning review (permit drawings)</t>
  </si>
  <si>
    <t xml:space="preserve">Submitted. Response expected about Oct 27.</t>
  </si>
  <si>
    <t xml:space="preserve">In progress</t>
  </si>
  <si>
    <t xml:space="preserve">Building permit</t>
  </si>
  <si>
    <t xml:space="preserve">Not yet applied for. Apply as soon as zoning clears.</t>
  </si>
  <si>
    <t xml:space="preserve">Not started</t>
  </si>
  <si>
    <t xml:space="preserve">Tendering</t>
  </si>
  <si>
    <t xml:space="preserve">Bids in for most divisions; Fabiano, Doctor Demo and New Age still pending. Deadline Thu Oct 22, 7 PM (David).</t>
  </si>
  <si>
    <t xml:space="preserve">Construction schedule</t>
  </si>
  <si>
    <t xml:space="preserve">Draft below. David to finalize with trades by Thu Oct 22, 7 PM.</t>
  </si>
  <si>
    <t xml:space="preserve">Start date communicated to client</t>
  </si>
  <si>
    <t xml:space="preserve">Aug 17: end of Oct / early Nov (tentative). Kyle asked again Oct 13; no firm date sent yet.</t>
  </si>
  <si>
    <t xml:space="preserve">Action needed</t>
  </si>
  <si>
    <t xml:space="preserve">FINANCIAL SNAPSHOT (live from the Finances tabs)</t>
  </si>
  <si>
    <t xml:space="preserve">Contract total (pre-HST)</t>
  </si>
  <si>
    <t xml:space="preserve">Base scope sell: 2.0 Rear Addition</t>
  </si>
  <si>
    <t xml:space="preserve">Cost target at 35% markup</t>
  </si>
  <si>
    <t xml:space="preserve">Base cost: current bids (Renomar)</t>
  </si>
  <si>
    <t xml:space="preserve">Base cost: Fabiano scenario</t>
  </si>
  <si>
    <t xml:space="preserve">Margin: current bids</t>
  </si>
  <si>
    <t xml:space="preserve">Margin: Fabiano scenario</t>
  </si>
  <si>
    <t xml:space="preserve">All-in margin, Fabiano (incl. contingency + provisional)</t>
  </si>
  <si>
    <t xml:space="preserve">Collected to date (incl. HST)</t>
  </si>
  <si>
    <t xml:space="preserve">Still to invoice (incl. HST)</t>
  </si>
  <si>
    <t xml:space="preserve">KEY RISKS AND DECISIONS</t>
  </si>
  <si>
    <t xml:space="preserve">1.</t>
  </si>
  <si>
    <t xml:space="preserve">Fabiano's General Works price decides the margin. Confirm it includes demo, licensed electrical + ESA, and drywall/insulation/trim materials.</t>
  </si>
  <si>
    <t xml:space="preserve">2.</t>
  </si>
  <si>
    <t xml:space="preserve">Brick veneer add-on: lowest bid $31,200 vs about $8,000 told to the client. Re-quote before Kyle, Nancy or neighbour Peter commit.</t>
  </si>
  <si>
    <t xml:space="preserve">3.</t>
  </si>
  <si>
    <t xml:space="preserve">Interior brick wall add-on: $10,800 bid vs about $3,600 quoted to the client.</t>
  </si>
  <si>
    <t xml:space="preserve">4.</t>
  </si>
  <si>
    <t xml:space="preserve">Structural engineering not yet issued. Reinforcement below is a change order per contract ($5,000 provisional carried).</t>
  </si>
  <si>
    <t xml:space="preserve">5.</t>
  </si>
  <si>
    <t xml:space="preserve">Winter build: the roof is open from demo until the flat roof is on (about 4.5 weeks in Jan to Feb). Budget temporary heat and weather protection, or hold demo until the permit date is firm.</t>
  </si>
  <si>
    <t xml:space="preserve">6.</t>
  </si>
  <si>
    <t xml:space="preserve">Bedroom egress window and side-wall limiting distance to be confirmed with the designer before windows are ordered.</t>
  </si>
  <si>
    <t xml:space="preserve">7.</t>
  </si>
  <si>
    <t xml:space="preserve">Window lead time drives the schedule. Client must order as soon as sizes are locked off framing.</t>
  </si>
  <si>
    <t xml:space="preserve">439 Manning Ave: Construction Schedule (draft)</t>
  </si>
  <si>
    <t xml:space="preserve">Durations are planning estimates. David to confirm each one with the trade by Thu Oct 22. Change the yellow cells; dates update.</t>
  </si>
  <si>
    <t xml:space="preserve">Expected permit issue date</t>
  </si>
  <si>
    <t xml:space="preserve">Estimate: zoning response ~Oct 27, then permit application; City review assumed ~5 weeks. Replace with the real date.</t>
  </si>
  <si>
    <t xml:space="preserve">Mobilization lead after permit (days)</t>
  </si>
  <si>
    <t xml:space="preserve">Time to book trades, bin, scaffold and protection after permit.</t>
  </si>
  <si>
    <t xml:space="preserve">Construction start</t>
  </si>
  <si>
    <t xml:space="preserve">Substantial completion</t>
  </si>
  <si>
    <t xml:space="preserve">Total duration (weeks)</t>
  </si>
  <si>
    <t xml:space="preserve">#</t>
  </si>
  <si>
    <t xml:space="preserve">Phase / task</t>
  </si>
  <si>
    <t xml:space="preserve">Trade</t>
  </si>
  <si>
    <t xml:space="preserve">Duration (weeks)</t>
  </si>
  <si>
    <t xml:space="preserve">Start</t>
  </si>
  <si>
    <t xml:space="preserve">Finish</t>
  </si>
  <si>
    <t xml:space="preserve">Inspection / milestone</t>
  </si>
  <si>
    <t xml:space="preserve">Payment milestone</t>
  </si>
  <si>
    <t xml:space="preserve">Mobilize: protection, bin, scaffold, portable toilet</t>
  </si>
  <si>
    <t xml:space="preserve">PalmView / Site services</t>
  </si>
  <si>
    <t xml:space="preserve">Construction Start (15%)</t>
  </si>
  <si>
    <t xml:space="preserve">Holiday shutdown: roof stays closed until the new year</t>
  </si>
  <si>
    <t xml:space="preserve">None</t>
  </si>
  <si>
    <t xml:space="preserve">Demolition: rear roof removal + temporary weather protection</t>
  </si>
  <si>
    <t xml:space="preserve">Fabiano / demo contractor</t>
  </si>
  <si>
    <t xml:space="preserve">Framing: floor system, walls, flat roof, beams, ridge raise</t>
  </si>
  <si>
    <t xml:space="preserve">Aryan (framing) + lumber</t>
  </si>
  <si>
    <t xml:space="preserve">Framing inspection</t>
  </si>
  <si>
    <t xml:space="preserve">Framing Complete (30%)</t>
  </si>
  <si>
    <t xml:space="preserve">Flat roofing, parapet flashing, skylight</t>
  </si>
  <si>
    <t xml:space="preserve">Safety Roofing</t>
  </si>
  <si>
    <t xml:space="preserve">Window install (client-supplied units)</t>
  </si>
  <si>
    <t xml:space="preserve">Window supplier</t>
  </si>
  <si>
    <t xml:space="preserve">Siding / cladding + flashing</t>
  </si>
  <si>
    <t xml:space="preserve">HVAC rough-in + electrical rough-in</t>
  </si>
  <si>
    <t xml:space="preserve">Ideal Heating / Fabiano electrician</t>
  </si>
  <si>
    <t xml:space="preserve">ESA rough-in inspection</t>
  </si>
  <si>
    <t xml:space="preserve">Electrical Rough-ins Complete (15%)</t>
  </si>
  <si>
    <t xml:space="preserve">Spray foam (roof) + batt insulation + vapour barrier</t>
  </si>
  <si>
    <t xml:space="preserve">FoamIt / Fabiano</t>
  </si>
  <si>
    <t xml:space="preserve">Insulation inspection</t>
  </si>
  <si>
    <t xml:space="preserve">Drywall: board, tape, plaster, sand, prime</t>
  </si>
  <si>
    <t xml:space="preserve">Fabiano</t>
  </si>
  <si>
    <t xml:space="preserve">Drywall Boarding Complete (10%)</t>
  </si>
  <si>
    <t xml:space="preserve">Painting: finish coats</t>
  </si>
  <si>
    <t xml:space="preserve">Hardwood flooring + trim + interior doors (client-supplied)</t>
  </si>
  <si>
    <t xml:space="preserve">Flooring Installed (10%)</t>
  </si>
  <si>
    <t xml:space="preserve">HVAC + electrical finish, devices, commissioning</t>
  </si>
  <si>
    <t xml:space="preserve">ESA final</t>
  </si>
  <si>
    <t xml:space="preserve">Punch list, clean-up, strip protection</t>
  </si>
  <si>
    <t xml:space="preserve">Fabiano / PalmView</t>
  </si>
  <si>
    <t xml:space="preserve">Final building inspection</t>
  </si>
  <si>
    <t xml:space="preserve">Punch List (5%)</t>
  </si>
  <si>
    <t xml:space="preserve">Tasks run one after another, which is conservative. Overlaps (e.g. siding while roughing in) can shorten it once David confirms crews. Weeks are calendar weeks, Monday to Friday site hours (T&amp;C 16.1).</t>
  </si>
  <si>
    <t xml:space="preserve">439 Manning Ave: Client Payment Schedule</t>
  </si>
  <si>
    <t xml:space="preserve">Contract milestones from JobTread invoices #2 to #9. Paid / status per JobTread on Oct 20, 2026.</t>
  </si>
  <si>
    <t xml:space="preserve">JobTread New Addition Proposal (doc #1), approved. Includes design fees.</t>
  </si>
  <si>
    <t xml:space="preserve">HST rate</t>
  </si>
  <si>
    <t xml:space="preserve">Design fees + other (contract total less base scope sell)</t>
  </si>
  <si>
    <t xml:space="preserve">Milestone</t>
  </si>
  <si>
    <t xml:space="preserve">% of contract</t>
  </si>
  <si>
    <t xml:space="preserve">Amount (pre-HST)</t>
  </si>
  <si>
    <t xml:space="preserve">HST</t>
  </si>
  <si>
    <t xml:space="preserve">Total incl. HST</t>
  </si>
  <si>
    <t xml:space="preserve">Collected (incl. HST)</t>
  </si>
  <si>
    <t xml:space="preserve">To invoice (incl. HST)</t>
  </si>
  <si>
    <t xml:space="preserve">Expected date</t>
  </si>
  <si>
    <t xml:space="preserve">Deposit</t>
  </si>
  <si>
    <t xml:space="preserve">Paid</t>
  </si>
  <si>
    <t xml:space="preserve">Jul 10, 2026 (invoiced)</t>
  </si>
  <si>
    <t xml:space="preserve">Building Permit Submission</t>
  </si>
  <si>
    <t xml:space="preserve">Draft</t>
  </si>
  <si>
    <t xml:space="preserve">When permit is applied for</t>
  </si>
  <si>
    <t xml:space="preserve">Construction Start Date</t>
  </si>
  <si>
    <t xml:space="preserve">Framing Complete</t>
  </si>
  <si>
    <t xml:space="preserve">Electrical Rough-ins Complete</t>
  </si>
  <si>
    <t xml:space="preserve">Drywall Boarding Complete</t>
  </si>
  <si>
    <t xml:space="preserve">Flooring Installed</t>
  </si>
  <si>
    <t xml:space="preserve">Punch List</t>
  </si>
  <si>
    <t xml:space="preserve">TOTAL</t>
  </si>
  <si>
    <t xml:space="preserve">Status values: Paid or Draft. Invoices are due within 2 calendar days of issue (T&amp;C 9.1).</t>
  </si>
  <si>
    <t xml:space="preserve">439 Manning Ave: Base Scope Bid Leveling vs Budget and 35% Markup Target</t>
  </si>
  <si>
    <t xml:space="preserve">Division</t>
  </si>
  <si>
    <t xml:space="preserve">Budget (cost)</t>
  </si>
  <si>
    <t xml:space="preserve">Lowest approved bid</t>
  </si>
  <si>
    <t xml:space="preserve">Low bidder</t>
  </si>
  <si>
    <t xml:space="preserve">Current: Renomar</t>
  </si>
  <si>
    <t xml:space="preserve">Scenario: Fabiano</t>
  </si>
  <si>
    <t xml:space="preserve">Scenario vs budget</t>
  </si>
  <si>
    <t xml:space="preserve"># prices in</t>
  </si>
  <si>
    <t xml:space="preserve"># required (SOP)</t>
  </si>
  <si>
    <t xml:space="preserve">General Works (bulk)</t>
  </si>
  <si>
    <t xml:space="preserve">Demolition (separate line)</t>
  </si>
  <si>
    <t xml:space="preserve">Framing &amp; Structure</t>
  </si>
  <si>
    <t xml:space="preserve">Lumber Supply</t>
  </si>
  <si>
    <t xml:space="preserve">Flat Roofing</t>
  </si>
  <si>
    <t xml:space="preserve">Siding / Cladding</t>
  </si>
  <si>
    <t xml:space="preserve">Roof + Siding Combo (Safety)</t>
  </si>
  <si>
    <t xml:space="preserve">HVAC: Mini-Split</t>
  </si>
  <si>
    <t xml:space="preserve">Spray Foam</t>
  </si>
  <si>
    <t xml:space="preserve">Site Services &amp; Hoisting</t>
  </si>
  <si>
    <t xml:space="preserve">No price yet: budget carried</t>
  </si>
  <si>
    <t xml:space="preserve">BASE COST TOTAL</t>
  </si>
  <si>
    <t xml:space="preserve">MARGIN CHECK</t>
  </si>
  <si>
    <t xml:space="preserve">Contract sell (pre-HST)</t>
  </si>
  <si>
    <t xml:space="preserve">Cost target = sell / (1 + markup)</t>
  </si>
  <si>
    <t xml:space="preserve">Base cost (from total above)</t>
  </si>
  <si>
    <t xml:space="preserve">Over / (under) cost target</t>
  </si>
  <si>
    <t xml:space="preserve">Gross profit</t>
  </si>
  <si>
    <t xml:space="preserve">Margin (profit / sell)</t>
  </si>
  <si>
    <t xml:space="preserve">Markup (profit / cost)</t>
  </si>
  <si>
    <t xml:space="preserve">Target margin at that markup</t>
  </si>
  <si>
    <t xml:space="preserve">RISK VIEW: + contingency + provisional</t>
  </si>
  <si>
    <t xml:space="preserve">Contingency</t>
  </si>
  <si>
    <t xml:space="preserve">Provisional: structural reinforcement</t>
  </si>
  <si>
    <t xml:space="preserve">All-in cost</t>
  </si>
  <si>
    <t xml:space="preserve">All-in profit</t>
  </si>
  <si>
    <t xml:space="preserve">All-in margin</t>
  </si>
  <si>
    <t xml:space="preserve">ADD-ONS: bid vs what the client was told</t>
  </si>
  <si>
    <t xml:space="preserve">Add-on</t>
  </si>
  <si>
    <t xml:space="preserve">Lowest bid</t>
  </si>
  <si>
    <t xml:space="preserve">Client was told (sell)</t>
  </si>
  <si>
    <t xml:space="preserve">Sell at 35% markup</t>
  </si>
  <si>
    <t xml:space="preserve">Gap: needed sell - told</t>
  </si>
  <si>
    <t xml:space="preserve">Brick Veneer (exterior)</t>
  </si>
  <si>
    <t xml:space="preserve">Rustic Interior Brick Wall</t>
  </si>
  <si>
    <t xml:space="preserve">Angled Skylight</t>
  </si>
  <si>
    <t xml:space="preserve">Windows: CLIENT-PAID, NOT IN BASE COST (info only)</t>
  </si>
  <si>
    <t xml:space="preserve">Finish materials: CLIENT-PAID, NOT IN BASE COST (hardwood, interior doors, hardware)</t>
  </si>
  <si>
    <t xml:space="preserve">Tender Package P9 budget; client selections</t>
  </si>
  <si>
    <t xml:space="preserve">Notes</t>
  </si>
  <si>
    <t xml:space="preserve">Amounts come from the cost field on each JobTread bid request. Quote PDFs not reviewed, so scope inclusions and HST treatment are unconfirmed.</t>
  </si>
  <si>
    <t xml:space="preserve">Contract sell $114,070 is the 2.0 Rear Addition base only (excludes design fees and add-ons), per the Tender Package margin check.</t>
  </si>
  <si>
    <t xml:space="preserve">Base cost EXCLUDES windows (supply + install) and all client finish materials (hardwood, interior doors, hardware). Base includes only the install labour for hardwood, doors and trim inside General Works.</t>
  </si>
  <si>
    <t xml:space="preserve">Confirm Renomar's and Fabiano's prices do NOT include supply of hardwood, interior doors or hardware, or window install. If they do, deduct it.</t>
  </si>
  <si>
    <t xml:space="preserve">Safety Roofing combo includes the skylight (an add-on), so the base is slightly overstated when Safety is selected. That's conservative.</t>
  </si>
  <si>
    <t xml:space="preserve">Site Services has no quote yet; the $11,500 budget is carried at cost.</t>
  </si>
  <si>
    <t xml:space="preserve">Confirm with Fabiano: demo as a separate line, licensed electrician + ESA included, and materials (drywall, insulation, trim) included.</t>
  </si>
  <si>
    <t xml:space="preserve">439 Manning Ave: Bid Leveling Inputs</t>
  </si>
  <si>
    <t xml:space="preserve">Yellow cells are the levers. Change them and every tab updates. Blue = typed-in number, black = formula, green = pulled from another tab.</t>
  </si>
  <si>
    <t xml:space="preserve">Input</t>
  </si>
  <si>
    <t xml:space="preserve">Value</t>
  </si>
  <si>
    <t xml:space="preserve">Source / note</t>
  </si>
  <si>
    <t xml:space="preserve">Contract sell: 2.0 Rear Addition (pre-HST)</t>
  </si>
  <si>
    <t xml:space="preserve">Tender Package, Margin Check (from invoice #22288). Excludes design fees and add-ons.</t>
  </si>
  <si>
    <t xml:space="preserve">Target markup on cost (SOP Step 5)</t>
  </si>
  <si>
    <t xml:space="preserve">Tendering SOP: cost target = contract sell / 1.35.</t>
  </si>
  <si>
    <t xml:space="preserve">Fabiano General Works price (estimate)</t>
  </si>
  <si>
    <t xml:space="preserve">Raff's estimate, Oct 20. Replace with the real number when it comes in.</t>
  </si>
  <si>
    <t xml:space="preserve">Does Fabiano's price include demolition? (Yes/No)</t>
  </si>
  <si>
    <t xml:space="preserve">Yes</t>
  </si>
  <si>
    <t xml:space="preserve">The work order asks for demo as a separate line. If No, the demo cost below gets added.</t>
  </si>
  <si>
    <t xml:space="preserve">Demolition cost if separate</t>
  </si>
  <si>
    <t xml:space="preserve">Internal demo budget (P7D). Replace with Fabiano's or Doctor Demo's price.</t>
  </si>
  <si>
    <t xml:space="preserve">Roof + siding option (Split / Safety)</t>
  </si>
  <si>
    <t xml:space="preserve">Safety</t>
  </si>
  <si>
    <t xml:space="preserve">Split = Alps roof + Baz siding. Safety = Safety Roofing combo (siding, flat roof and skylight).</t>
  </si>
  <si>
    <t xml:space="preserve">Construction contingency (% of cost)</t>
  </si>
  <si>
    <t xml:space="preserve">Tender Package: 10% budget reserve.</t>
  </si>
  <si>
    <t xml:space="preserve">Tender Package P2 provisional / change order risk.</t>
  </si>
  <si>
    <t xml:space="preserve">All Manning Bid Requests (from JobTread, Oct 20, 2026)</t>
  </si>
  <si>
    <t xml:space="preserve">Amounts are the cost entered on each JobTread bid request. HST treatment not confirmed. To add a bid, insert a row above the last one and copy column E down.</t>
  </si>
  <si>
    <t xml:space="preserve">Vendor</t>
  </si>
  <si>
    <t xml:space="preserve">Amount ($)</t>
  </si>
  <si>
    <t xml:space="preserve">Lookup key (formula)</t>
  </si>
  <si>
    <t xml:space="preserve">JobTread #</t>
  </si>
  <si>
    <t xml:space="preserve">General Works + Demo</t>
  </si>
  <si>
    <t xml:space="preserve">Renomar Inc (Olimpiu)</t>
  </si>
  <si>
    <t xml:space="preserve">Approved</t>
  </si>
  <si>
    <t xml:space="preserve">FV Renovations (Fabiano)</t>
  </si>
  <si>
    <t xml:space="preserve">Pending</t>
  </si>
  <si>
    <t xml:space="preserve">Demolition</t>
  </si>
  <si>
    <t xml:space="preserve">Doctor Demo (Roman)</t>
  </si>
  <si>
    <t xml:space="preserve">Bradley Demolition</t>
  </si>
  <si>
    <t xml:space="preserve">Declined</t>
  </si>
  <si>
    <t xml:space="preserve">Universal Impact Services</t>
  </si>
  <si>
    <t xml:space="preserve">Framing</t>
  </si>
  <si>
    <t xml:space="preserve">Aryan</t>
  </si>
  <si>
    <t xml:space="preserve">New Age Construction (Mario)</t>
  </si>
  <si>
    <t xml:space="preserve">Bogdan</t>
  </si>
  <si>
    <t xml:space="preserve">Lumber</t>
  </si>
  <si>
    <t xml:space="preserve">RONA (Jonathan)</t>
  </si>
  <si>
    <t xml:space="preserve">Central Fairbank (Bruno)</t>
  </si>
  <si>
    <t xml:space="preserve">KOTT (Jon Stark)</t>
  </si>
  <si>
    <t xml:space="preserve">Alps Roofing</t>
  </si>
  <si>
    <t xml:space="preserve">CA Roofing (Jason)</t>
  </si>
  <si>
    <t xml:space="preserve">Ebi</t>
  </si>
  <si>
    <t xml:space="preserve">Siding</t>
  </si>
  <si>
    <t xml:space="preserve">Baz Aluminum</t>
  </si>
  <si>
    <t xml:space="preserve">SM Cladding (Milos)</t>
  </si>
  <si>
    <t xml:space="preserve">Roof + Siding + Skylight Combo</t>
  </si>
  <si>
    <t xml:space="preserve">Safety Roofing (Elvis)</t>
  </si>
  <si>
    <t xml:space="preserve">HVAC</t>
  </si>
  <si>
    <t xml:space="preserve">Ideal Heating (Leena)</t>
  </si>
  <si>
    <t xml:space="preserve">MiTech HVAC (Mikel)</t>
  </si>
  <si>
    <t xml:space="preserve">Sentral HVAC</t>
  </si>
  <si>
    <t xml:space="preserve">MMS HVAC</t>
  </si>
  <si>
    <t xml:space="preserve">FoamIt (Nadia)</t>
  </si>
  <si>
    <t xml:space="preserve">Windows (client-paid)</t>
  </si>
  <si>
    <t xml:space="preserve">JS Windows and Doors</t>
  </si>
  <si>
    <t xml:space="preserve">Kingshore Windows</t>
  </si>
  <si>
    <t xml:space="preserve">WELDA Windows &amp; Doors</t>
  </si>
  <si>
    <t xml:space="preserve">Add-on: Brick Veneer</t>
  </si>
  <si>
    <t xml:space="preserve">Amoroso Construction</t>
  </si>
  <si>
    <t xml:space="preserve">Add-on: Interior Brick</t>
  </si>
  <si>
    <t xml:space="preserve">Add-on: Skylight</t>
  </si>
  <si>
    <t xml:space="preserve">Skylight Services Ltd</t>
  </si>
  <si>
    <t xml:space="preserve">Aluplex</t>
  </si>
  <si>
    <t xml:space="preserve">Approved (partial)</t>
  </si>
  <si>
    <t xml:space="preserve">Hardwood Install (in GW scope)</t>
  </si>
  <si>
    <t xml:space="preserve">Reno Factory (Roland)</t>
  </si>
</sst>
</file>

<file path=xl/styles.xml><?xml version="1.0" encoding="utf-8"?>
<styleSheet xmlns="http://schemas.openxmlformats.org/spreadsheetml/2006/main">
  <numFmts count="6">
    <numFmt numFmtId="164" formatCode="General"/>
    <numFmt numFmtId="165" formatCode="\$#,##0;&quot;($&quot;#,##0\);\-"/>
    <numFmt numFmtId="166" formatCode="0.0%;\(0.0%\);\-"/>
    <numFmt numFmtId="167" formatCode="mmm\ d&quot;, &quot;yyyy"/>
    <numFmt numFmtId="168" formatCode="0.0"/>
    <numFmt numFmtId="169" formatCode="General"/>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1"/>
      <color theme="1"/>
      <name val="Arial"/>
      <family val="0"/>
      <charset val="1"/>
    </font>
    <font>
      <i val="true"/>
      <sz val="10"/>
      <color rgb="FF595959"/>
      <name val="Arial"/>
      <family val="0"/>
      <charset val="1"/>
    </font>
    <font>
      <b val="true"/>
      <sz val="10"/>
      <color rgb="FFFFFFFF"/>
      <name val="Arial"/>
      <family val="0"/>
      <charset val="1"/>
    </font>
    <font>
      <b val="true"/>
      <sz val="10"/>
      <name val="Arial"/>
      <family val="0"/>
      <charset val="1"/>
    </font>
    <font>
      <sz val="10"/>
      <color rgb="FF008000"/>
      <name val="Arial"/>
      <family val="0"/>
      <charset val="1"/>
    </font>
    <font>
      <b val="true"/>
      <sz val="14"/>
      <name val="Arial"/>
      <family val="0"/>
      <charset val="1"/>
    </font>
    <font>
      <sz val="10"/>
      <color rgb="FF0000FF"/>
      <name val="Arial"/>
      <family val="0"/>
      <charset val="1"/>
    </font>
    <font>
      <sz val="10"/>
      <color rgb="FF595959"/>
      <name val="Arial"/>
      <family val="0"/>
      <charset val="1"/>
    </font>
    <font>
      <sz val="10"/>
      <name val="Arial"/>
      <family val="0"/>
      <charset val="1"/>
    </font>
    <font>
      <b val="true"/>
      <sz val="12"/>
      <name val="Arial"/>
      <family val="0"/>
      <charset val="1"/>
    </font>
    <font>
      <sz val="10"/>
      <name val="Arial"/>
      <family val="2"/>
    </font>
  </fonts>
  <fills count="5">
    <fill>
      <patternFill patternType="none"/>
    </fill>
    <fill>
      <patternFill patternType="gray125"/>
    </fill>
    <fill>
      <patternFill patternType="solid">
        <fgColor rgb="FF1F3A5F"/>
        <bgColor rgb="FF333333"/>
      </patternFill>
    </fill>
    <fill>
      <patternFill patternType="solid">
        <fgColor rgb="FFFFFF00"/>
        <bgColor rgb="FFFFFF00"/>
      </patternFill>
    </fill>
    <fill>
      <patternFill patternType="solid">
        <fgColor rgb="FFE8EEF5"/>
        <bgColor rgb="FFE2EFDA"/>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11" fillId="3" borderId="1"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8" fillId="4" borderId="2" xfId="0" applyFont="true" applyBorder="true" applyAlignment="false" applyProtection="false">
      <alignment horizontal="general" vertical="bottom" textRotation="0" wrapText="false" indent="0" shrinkToFit="false"/>
      <protection locked="true" hidden="false"/>
    </xf>
    <xf numFmtId="166" fontId="8" fillId="4" borderId="2" xfId="0" applyFont="true" applyBorder="true" applyAlignment="false" applyProtection="false">
      <alignment horizontal="general" vertical="bottom" textRotation="0" wrapText="false" indent="0" shrinkToFit="false"/>
      <protection locked="true" hidden="false"/>
    </xf>
    <xf numFmtId="165" fontId="8" fillId="4" borderId="2"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6" fontId="11" fillId="3"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b val="1"/>
        <color rgb="FFC00000"/>
      </font>
    </dxf>
    <dxf>
      <font>
        <name val="Arial"/>
        <charset val="1"/>
        <family val="0"/>
        <b val="1"/>
        <color rgb="FF008000"/>
      </font>
    </dxf>
    <dxf>
      <fill>
        <patternFill>
          <bgColor rgb="FFFCE4D6"/>
        </patternFill>
      </fill>
    </dxf>
    <dxf>
      <fill>
        <patternFill>
          <bgColor rgb="FFE2EFDA"/>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E8EE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4"/>
    <col collapsed="false" customWidth="true" hidden="false" outlineLevel="0" max="5" min="5" style="0" width="16"/>
  </cols>
  <sheetData>
    <row r="1" customFormat="false" ht="19.7" hidden="false" customHeight="false" outlineLevel="0" collapsed="false">
      <c r="A1" s="1" t="s">
        <v>0</v>
      </c>
      <c r="B1" s="2"/>
      <c r="C1" s="2"/>
      <c r="D1" s="2"/>
      <c r="E1" s="2"/>
    </row>
    <row r="2" customFormat="false" ht="15" hidden="false" customHeight="false" outlineLevel="0" collapsed="false">
      <c r="A2" s="3" t="s">
        <v>1</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v>
      </c>
      <c r="B4" s="5"/>
      <c r="C4" s="5"/>
      <c r="D4" s="5"/>
      <c r="E4" s="5"/>
    </row>
    <row r="5" customFormat="false" ht="15" hidden="false" customHeight="true" outlineLevel="0" collapsed="false">
      <c r="A5" s="6" t="s">
        <v>3</v>
      </c>
      <c r="B5" s="7" t="s">
        <v>4</v>
      </c>
      <c r="C5" s="7"/>
      <c r="D5" s="7"/>
      <c r="E5" s="7"/>
    </row>
    <row r="6" customFormat="false" ht="15" hidden="false" customHeight="true" outlineLevel="0" collapsed="false">
      <c r="A6" s="6" t="s">
        <v>5</v>
      </c>
      <c r="B6" s="7" t="s">
        <v>6</v>
      </c>
      <c r="C6" s="7"/>
      <c r="D6" s="7"/>
      <c r="E6" s="7"/>
    </row>
    <row r="7" customFormat="false" ht="30" hidden="false" customHeight="true" outlineLevel="0" collapsed="false">
      <c r="A7" s="6" t="s">
        <v>7</v>
      </c>
      <c r="B7" s="7" t="s">
        <v>8</v>
      </c>
      <c r="C7" s="7"/>
      <c r="D7" s="7"/>
      <c r="E7" s="7"/>
    </row>
    <row r="8" customFormat="false" ht="15" hidden="false" customHeight="true" outlineLevel="0" collapsed="false">
      <c r="A8" s="6" t="s">
        <v>9</v>
      </c>
      <c r="B8" s="7" t="s">
        <v>10</v>
      </c>
      <c r="C8" s="7"/>
      <c r="D8" s="7"/>
      <c r="E8" s="7"/>
    </row>
    <row r="9" customFormat="false" ht="30" hidden="false" customHeight="true" outlineLevel="0" collapsed="false">
      <c r="A9" s="6" t="s">
        <v>11</v>
      </c>
      <c r="B9" s="7" t="s">
        <v>12</v>
      </c>
      <c r="C9" s="7"/>
      <c r="D9" s="7"/>
      <c r="E9" s="7"/>
    </row>
    <row r="10" customFormat="false" ht="15" hidden="false" customHeight="true" outlineLevel="0" collapsed="false">
      <c r="A10" s="6" t="s">
        <v>13</v>
      </c>
      <c r="B10" s="7" t="s">
        <v>14</v>
      </c>
      <c r="C10" s="7"/>
      <c r="D10" s="7"/>
      <c r="E10" s="7"/>
    </row>
    <row r="11" customFormat="false" ht="15" hidden="false" customHeight="true" outlineLevel="0" collapsed="false">
      <c r="A11" s="6" t="s">
        <v>15</v>
      </c>
      <c r="B11" s="7" t="s">
        <v>16</v>
      </c>
      <c r="C11" s="7"/>
      <c r="D11" s="7"/>
      <c r="E11" s="7"/>
    </row>
    <row r="12" customFormat="false" ht="15" hidden="false" customHeight="false" outlineLevel="0" collapsed="false">
      <c r="A12" s="2"/>
      <c r="B12" s="2"/>
      <c r="C12" s="2"/>
      <c r="D12" s="2"/>
      <c r="E12" s="2"/>
    </row>
    <row r="13" customFormat="false" ht="15" hidden="false" customHeight="false" outlineLevel="0" collapsed="false">
      <c r="A13" s="4" t="s">
        <v>17</v>
      </c>
      <c r="B13" s="5"/>
      <c r="C13" s="5"/>
      <c r="D13" s="5"/>
      <c r="E13" s="5"/>
    </row>
    <row r="14" customFormat="false" ht="15" hidden="false" customHeight="false" outlineLevel="0" collapsed="false">
      <c r="A14" s="6" t="s">
        <v>18</v>
      </c>
      <c r="B14" s="6" t="s">
        <v>19</v>
      </c>
      <c r="C14" s="2"/>
      <c r="D14" s="2"/>
      <c r="E14" s="6" t="s">
        <v>20</v>
      </c>
    </row>
    <row r="15" customFormat="false" ht="26.85" hidden="false" customHeight="true" outlineLevel="0" collapsed="false">
      <c r="A15" s="2" t="s">
        <v>21</v>
      </c>
      <c r="B15" s="7" t="s">
        <v>22</v>
      </c>
      <c r="C15" s="7"/>
      <c r="D15" s="7"/>
      <c r="E15" s="2" t="s">
        <v>23</v>
      </c>
    </row>
    <row r="16" customFormat="false" ht="15" hidden="false" customHeight="true" outlineLevel="0" collapsed="false">
      <c r="A16" s="2" t="s">
        <v>24</v>
      </c>
      <c r="B16" s="7" t="s">
        <v>25</v>
      </c>
      <c r="C16" s="7"/>
      <c r="D16" s="7"/>
      <c r="E16" s="2" t="s">
        <v>26</v>
      </c>
    </row>
    <row r="17" customFormat="false" ht="15" hidden="false" customHeight="true" outlineLevel="0" collapsed="false">
      <c r="A17" s="2" t="s">
        <v>27</v>
      </c>
      <c r="B17" s="7" t="s">
        <v>28</v>
      </c>
      <c r="C17" s="7"/>
      <c r="D17" s="7"/>
      <c r="E17" s="2" t="s">
        <v>29</v>
      </c>
    </row>
    <row r="18" customFormat="false" ht="26.85" hidden="false" customHeight="true" outlineLevel="0" collapsed="false">
      <c r="A18" s="2" t="s">
        <v>30</v>
      </c>
      <c r="B18" s="7" t="s">
        <v>31</v>
      </c>
      <c r="C18" s="7"/>
      <c r="D18" s="7"/>
      <c r="E18" s="2" t="s">
        <v>26</v>
      </c>
    </row>
    <row r="19" customFormat="false" ht="15" hidden="false" customHeight="true" outlineLevel="0" collapsed="false">
      <c r="A19" s="2" t="s">
        <v>32</v>
      </c>
      <c r="B19" s="7" t="s">
        <v>33</v>
      </c>
      <c r="C19" s="7"/>
      <c r="D19" s="7"/>
      <c r="E19" s="2" t="s">
        <v>26</v>
      </c>
    </row>
    <row r="20" customFormat="false" ht="26.85" hidden="false" customHeight="true" outlineLevel="0" collapsed="false">
      <c r="A20" s="2" t="s">
        <v>34</v>
      </c>
      <c r="B20" s="7" t="s">
        <v>35</v>
      </c>
      <c r="C20" s="7"/>
      <c r="D20" s="7"/>
      <c r="E20" s="2" t="s">
        <v>36</v>
      </c>
    </row>
    <row r="21" customFormat="false" ht="15" hidden="false" customHeight="false" outlineLevel="0" collapsed="false">
      <c r="A21" s="2"/>
      <c r="B21" s="2"/>
      <c r="C21" s="2"/>
      <c r="D21" s="2"/>
      <c r="E21" s="2"/>
    </row>
    <row r="22" customFormat="false" ht="15" hidden="false" customHeight="false" outlineLevel="0" collapsed="false">
      <c r="A22" s="4" t="s">
        <v>37</v>
      </c>
      <c r="B22" s="5"/>
      <c r="C22" s="5"/>
      <c r="D22" s="5"/>
      <c r="E22" s="5"/>
    </row>
    <row r="23" customFormat="false" ht="15" hidden="false" customHeight="false" outlineLevel="0" collapsed="false">
      <c r="A23" s="2" t="s">
        <v>38</v>
      </c>
      <c r="B23" s="8" t="n">
        <f aca="false">'Payment Schedule'!$B$4</f>
        <v>123030.16</v>
      </c>
      <c r="C23" s="2"/>
      <c r="D23" s="2"/>
      <c r="E23" s="2"/>
    </row>
    <row r="24" customFormat="false" ht="15" hidden="false" customHeight="false" outlineLevel="0" collapsed="false">
      <c r="A24" s="2" t="s">
        <v>39</v>
      </c>
      <c r="B24" s="8" t="n">
        <f aca="false">Inputs!$B$5</f>
        <v>114070</v>
      </c>
      <c r="C24" s="2"/>
      <c r="D24" s="2"/>
      <c r="E24" s="2"/>
    </row>
    <row r="25" customFormat="false" ht="15" hidden="false" customHeight="false" outlineLevel="0" collapsed="false">
      <c r="A25" s="2" t="s">
        <v>40</v>
      </c>
      <c r="B25" s="8" t="n">
        <f aca="false">Leveling!$E$19</f>
        <v>84496.2962962963</v>
      </c>
      <c r="C25" s="2"/>
      <c r="D25" s="2"/>
      <c r="E25" s="2"/>
    </row>
    <row r="26" customFormat="false" ht="15" hidden="false" customHeight="false" outlineLevel="0" collapsed="false">
      <c r="A26" s="2" t="s">
        <v>41</v>
      </c>
      <c r="B26" s="8" t="n">
        <f aca="false">Leveling!$E$20</f>
        <v>122296.69</v>
      </c>
      <c r="C26" s="2"/>
      <c r="D26" s="2"/>
      <c r="E26" s="2"/>
    </row>
    <row r="27" customFormat="false" ht="15" hidden="false" customHeight="false" outlineLevel="0" collapsed="false">
      <c r="A27" s="2" t="s">
        <v>42</v>
      </c>
      <c r="B27" s="8" t="n">
        <f aca="false">Leveling!$F$20</f>
        <v>85196.69</v>
      </c>
      <c r="C27" s="2"/>
      <c r="D27" s="2"/>
      <c r="E27" s="2"/>
    </row>
    <row r="28" customFormat="false" ht="15" hidden="false" customHeight="false" outlineLevel="0" collapsed="false">
      <c r="A28" s="2" t="s">
        <v>43</v>
      </c>
      <c r="B28" s="9" t="n">
        <f aca="false">Leveling!$E$23</f>
        <v>-0.0721196633646007</v>
      </c>
      <c r="C28" s="2"/>
      <c r="D28" s="2"/>
      <c r="E28" s="2"/>
    </row>
    <row r="29" customFormat="false" ht="15" hidden="false" customHeight="false" outlineLevel="0" collapsed="false">
      <c r="A29" s="2" t="s">
        <v>44</v>
      </c>
      <c r="B29" s="9" t="n">
        <f aca="false">Leveling!$F$23</f>
        <v>0.253119225037258</v>
      </c>
      <c r="C29" s="2"/>
      <c r="D29" s="2"/>
      <c r="E29" s="2"/>
    </row>
    <row r="30" customFormat="false" ht="15" hidden="false" customHeight="false" outlineLevel="0" collapsed="false">
      <c r="A30" s="2" t="s">
        <v>45</v>
      </c>
      <c r="B30" s="9" t="n">
        <f aca="false">Leveling!$F$32</f>
        <v>0.134598413255019</v>
      </c>
      <c r="C30" s="2"/>
      <c r="D30" s="2"/>
      <c r="E30" s="2"/>
    </row>
    <row r="31" customFormat="false" ht="15" hidden="false" customHeight="false" outlineLevel="0" collapsed="false">
      <c r="A31" s="2" t="s">
        <v>46</v>
      </c>
      <c r="B31" s="8" t="n">
        <f aca="false">'Payment Schedule'!$G$17</f>
        <v>6951.20404</v>
      </c>
      <c r="C31" s="2"/>
      <c r="D31" s="2"/>
      <c r="E31" s="2"/>
    </row>
    <row r="32" customFormat="false" ht="15" hidden="false" customHeight="false" outlineLevel="0" collapsed="false">
      <c r="A32" s="2" t="s">
        <v>47</v>
      </c>
      <c r="B32" s="8" t="n">
        <f aca="false">'Payment Schedule'!$H$17</f>
        <v>132072.87676</v>
      </c>
      <c r="C32" s="2"/>
      <c r="D32" s="2"/>
      <c r="E32" s="2"/>
    </row>
    <row r="33" customFormat="false" ht="15" hidden="false" customHeight="false" outlineLevel="0" collapsed="false">
      <c r="A33" s="2"/>
      <c r="B33" s="2"/>
      <c r="C33" s="2"/>
      <c r="D33" s="2"/>
      <c r="E33" s="2"/>
    </row>
    <row r="34" customFormat="false" ht="15" hidden="false" customHeight="false" outlineLevel="0" collapsed="false">
      <c r="A34" s="4" t="s">
        <v>48</v>
      </c>
      <c r="B34" s="5"/>
      <c r="C34" s="5"/>
      <c r="D34" s="5"/>
      <c r="E34" s="5"/>
    </row>
    <row r="35" customFormat="false" ht="27.75" hidden="false" customHeight="true" outlineLevel="0" collapsed="false">
      <c r="A35" s="2" t="s">
        <v>49</v>
      </c>
      <c r="B35" s="7" t="s">
        <v>50</v>
      </c>
      <c r="C35" s="7"/>
      <c r="D35" s="7"/>
      <c r="E35" s="7"/>
    </row>
    <row r="36" customFormat="false" ht="27.75" hidden="false" customHeight="true" outlineLevel="0" collapsed="false">
      <c r="A36" s="2" t="s">
        <v>51</v>
      </c>
      <c r="B36" s="7" t="s">
        <v>52</v>
      </c>
      <c r="C36" s="7"/>
      <c r="D36" s="7"/>
      <c r="E36" s="7"/>
    </row>
    <row r="37" customFormat="false" ht="27.75" hidden="false" customHeight="true" outlineLevel="0" collapsed="false">
      <c r="A37" s="2" t="s">
        <v>53</v>
      </c>
      <c r="B37" s="7" t="s">
        <v>54</v>
      </c>
      <c r="C37" s="7"/>
      <c r="D37" s="7"/>
      <c r="E37" s="7"/>
    </row>
    <row r="38" customFormat="false" ht="27.75" hidden="false" customHeight="true" outlineLevel="0" collapsed="false">
      <c r="A38" s="2" t="s">
        <v>55</v>
      </c>
      <c r="B38" s="7" t="s">
        <v>56</v>
      </c>
      <c r="C38" s="7"/>
      <c r="D38" s="7"/>
      <c r="E38" s="7"/>
    </row>
    <row r="39" customFormat="false" ht="27.75" hidden="false" customHeight="true" outlineLevel="0" collapsed="false">
      <c r="A39" s="2" t="s">
        <v>57</v>
      </c>
      <c r="B39" s="7" t="s">
        <v>58</v>
      </c>
      <c r="C39" s="7"/>
      <c r="D39" s="7"/>
      <c r="E39" s="7"/>
    </row>
    <row r="40" customFormat="false" ht="27.75" hidden="false" customHeight="true" outlineLevel="0" collapsed="false">
      <c r="A40" s="2" t="s">
        <v>59</v>
      </c>
      <c r="B40" s="7" t="s">
        <v>60</v>
      </c>
      <c r="C40" s="7"/>
      <c r="D40" s="7"/>
      <c r="E40" s="7"/>
    </row>
    <row r="41" customFormat="false" ht="27.75" hidden="false" customHeight="true" outlineLevel="0" collapsed="false">
      <c r="A41" s="2" t="s">
        <v>61</v>
      </c>
      <c r="B41" s="7" t="s">
        <v>62</v>
      </c>
      <c r="C41" s="7"/>
      <c r="D41" s="7"/>
      <c r="E41" s="7"/>
    </row>
  </sheetData>
  <mergeCells count="20">
    <mergeCell ref="B5:E5"/>
    <mergeCell ref="B6:E6"/>
    <mergeCell ref="B7:E7"/>
    <mergeCell ref="B8:E8"/>
    <mergeCell ref="B9:E9"/>
    <mergeCell ref="B10:E10"/>
    <mergeCell ref="B11:E11"/>
    <mergeCell ref="B15:D15"/>
    <mergeCell ref="B16:D16"/>
    <mergeCell ref="B17:D17"/>
    <mergeCell ref="B18:D18"/>
    <mergeCell ref="B19:D19"/>
    <mergeCell ref="B20:D20"/>
    <mergeCell ref="B35:E35"/>
    <mergeCell ref="B36:E36"/>
    <mergeCell ref="B37:E37"/>
    <mergeCell ref="B38:E38"/>
    <mergeCell ref="B39:E39"/>
    <mergeCell ref="B40:E40"/>
    <mergeCell ref="B41:E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2"/>
    <col collapsed="false" customWidth="true" hidden="false" outlineLevel="0" max="3" min="3" style="0" width="30"/>
    <col collapsed="false" customWidth="true" hidden="false" outlineLevel="0" max="4" min="4" style="0" width="12"/>
    <col collapsed="false" customWidth="true" hidden="false" outlineLevel="0" max="6" min="5" style="0" width="14"/>
    <col collapsed="false" customWidth="true" hidden="false" outlineLevel="0" max="7" min="7" style="0" width="24"/>
    <col collapsed="false" customWidth="true" hidden="false" outlineLevel="0" max="8" min="8" style="0" width="30"/>
  </cols>
  <sheetData>
    <row r="1" customFormat="false" ht="17.35" hidden="false" customHeight="false" outlineLevel="0" collapsed="false">
      <c r="A1" s="10" t="s">
        <v>63</v>
      </c>
      <c r="B1" s="2"/>
      <c r="C1" s="2"/>
      <c r="D1" s="2"/>
      <c r="E1" s="2"/>
      <c r="F1" s="2"/>
      <c r="G1" s="2"/>
      <c r="H1" s="2"/>
    </row>
    <row r="2" customFormat="false" ht="15" hidden="false" customHeight="false" outlineLevel="0" collapsed="false">
      <c r="A2" s="3" t="s">
        <v>64</v>
      </c>
      <c r="B2" s="2"/>
      <c r="C2" s="2"/>
      <c r="D2" s="2"/>
      <c r="E2" s="2"/>
      <c r="F2" s="2"/>
      <c r="G2" s="2"/>
      <c r="H2" s="2"/>
    </row>
    <row r="3" customFormat="false" ht="15" hidden="false" customHeight="false" outlineLevel="0" collapsed="false">
      <c r="A3" s="2"/>
      <c r="B3" s="2"/>
      <c r="C3" s="2"/>
      <c r="D3" s="2"/>
      <c r="E3" s="2"/>
      <c r="F3" s="2"/>
      <c r="G3" s="2"/>
      <c r="H3" s="2"/>
    </row>
    <row r="4" customFormat="false" ht="15" hidden="false" customHeight="false" outlineLevel="0" collapsed="false">
      <c r="A4" s="2" t="s">
        <v>65</v>
      </c>
      <c r="B4" s="11" t="n">
        <v>46360</v>
      </c>
      <c r="C4" s="2" t="s">
        <v>66</v>
      </c>
      <c r="D4" s="2"/>
      <c r="E4" s="2"/>
      <c r="F4" s="2"/>
      <c r="G4" s="2"/>
      <c r="H4" s="2"/>
    </row>
    <row r="5" customFormat="false" ht="15" hidden="false" customHeight="false" outlineLevel="0" collapsed="false">
      <c r="A5" s="2" t="s">
        <v>67</v>
      </c>
      <c r="B5" s="12" t="n">
        <v>7</v>
      </c>
      <c r="C5" s="2" t="s">
        <v>68</v>
      </c>
      <c r="D5" s="2"/>
      <c r="E5" s="2"/>
      <c r="F5" s="2"/>
      <c r="G5" s="2"/>
      <c r="H5" s="2"/>
    </row>
    <row r="6" customFormat="false" ht="15" hidden="false" customHeight="false" outlineLevel="0" collapsed="false">
      <c r="A6" s="2" t="s">
        <v>69</v>
      </c>
      <c r="B6" s="13" t="n">
        <f aca="false">B4+B5</f>
        <v>46367</v>
      </c>
      <c r="C6" s="2"/>
      <c r="D6" s="2"/>
      <c r="E6" s="2"/>
      <c r="F6" s="2"/>
      <c r="G6" s="2"/>
      <c r="H6" s="2"/>
    </row>
    <row r="7" customFormat="false" ht="15" hidden="false" customHeight="false" outlineLevel="0" collapsed="false">
      <c r="A7" s="2" t="s">
        <v>70</v>
      </c>
      <c r="B7" s="13" t="n">
        <f aca="false">F24</f>
        <v>46516</v>
      </c>
      <c r="C7" s="2"/>
      <c r="D7" s="2"/>
      <c r="E7" s="2"/>
      <c r="F7" s="2"/>
      <c r="G7" s="2"/>
      <c r="H7" s="2"/>
    </row>
    <row r="8" customFormat="false" ht="15" hidden="false" customHeight="false" outlineLevel="0" collapsed="false">
      <c r="A8" s="2" t="s">
        <v>71</v>
      </c>
      <c r="B8" s="14" t="n">
        <f aca="false">SUM(D11:D24)</f>
        <v>21</v>
      </c>
      <c r="C8" s="2"/>
      <c r="D8" s="2"/>
      <c r="E8" s="2"/>
      <c r="F8" s="2"/>
      <c r="G8" s="2"/>
      <c r="H8" s="2"/>
    </row>
    <row r="9" customFormat="false" ht="15" hidden="false" customHeight="false" outlineLevel="0" collapsed="false">
      <c r="A9" s="2"/>
      <c r="B9" s="2"/>
      <c r="C9" s="2"/>
      <c r="D9" s="2"/>
      <c r="E9" s="2"/>
      <c r="F9" s="2"/>
      <c r="G9" s="2"/>
      <c r="H9" s="2"/>
    </row>
    <row r="10" customFormat="false" ht="23.85" hidden="false" customHeight="false" outlineLevel="0" collapsed="false">
      <c r="A10" s="15" t="s">
        <v>72</v>
      </c>
      <c r="B10" s="15" t="s">
        <v>73</v>
      </c>
      <c r="C10" s="15" t="s">
        <v>74</v>
      </c>
      <c r="D10" s="15" t="s">
        <v>75</v>
      </c>
      <c r="E10" s="15" t="s">
        <v>76</v>
      </c>
      <c r="F10" s="15" t="s">
        <v>77</v>
      </c>
      <c r="G10" s="15" t="s">
        <v>78</v>
      </c>
      <c r="H10" s="15" t="s">
        <v>79</v>
      </c>
    </row>
    <row r="11" customFormat="false" ht="15" hidden="false" customHeight="false" outlineLevel="0" collapsed="false">
      <c r="A11" s="16" t="n">
        <v>1</v>
      </c>
      <c r="B11" s="17" t="s">
        <v>80</v>
      </c>
      <c r="C11" s="17" t="s">
        <v>81</v>
      </c>
      <c r="D11" s="12" t="n">
        <v>1</v>
      </c>
      <c r="E11" s="18" t="n">
        <f aca="false">$B$6</f>
        <v>46367</v>
      </c>
      <c r="F11" s="18" t="n">
        <f aca="false">E11+ROUND(D11*7,0)</f>
        <v>46374</v>
      </c>
      <c r="G11" s="16"/>
      <c r="H11" s="16" t="s">
        <v>82</v>
      </c>
    </row>
    <row r="12" customFormat="false" ht="15" hidden="false" customHeight="false" outlineLevel="0" collapsed="false">
      <c r="A12" s="16" t="n">
        <v>2</v>
      </c>
      <c r="B12" s="17" t="s">
        <v>83</v>
      </c>
      <c r="C12" s="17" t="s">
        <v>84</v>
      </c>
      <c r="D12" s="12" t="n">
        <v>2.5</v>
      </c>
      <c r="E12" s="18" t="n">
        <f aca="false">F11</f>
        <v>46374</v>
      </c>
      <c r="F12" s="18" t="n">
        <f aca="false">E12+ROUND(D12*7,0)</f>
        <v>46392</v>
      </c>
      <c r="G12" s="16"/>
      <c r="H12" s="16"/>
    </row>
    <row r="13" customFormat="false" ht="26.85" hidden="false" customHeight="false" outlineLevel="0" collapsed="false">
      <c r="A13" s="16" t="n">
        <v>3</v>
      </c>
      <c r="B13" s="17" t="s">
        <v>85</v>
      </c>
      <c r="C13" s="17" t="s">
        <v>86</v>
      </c>
      <c r="D13" s="12" t="n">
        <v>1</v>
      </c>
      <c r="E13" s="18" t="n">
        <f aca="false">F12</f>
        <v>46392</v>
      </c>
      <c r="F13" s="18" t="n">
        <f aca="false">E13+ROUND(D13*7,0)</f>
        <v>46399</v>
      </c>
      <c r="G13" s="16"/>
      <c r="H13" s="16"/>
    </row>
    <row r="14" customFormat="false" ht="26.85" hidden="false" customHeight="false" outlineLevel="0" collapsed="false">
      <c r="A14" s="16" t="n">
        <v>4</v>
      </c>
      <c r="B14" s="17" t="s">
        <v>87</v>
      </c>
      <c r="C14" s="17" t="s">
        <v>88</v>
      </c>
      <c r="D14" s="12" t="n">
        <v>3</v>
      </c>
      <c r="E14" s="18" t="n">
        <f aca="false">F13</f>
        <v>46399</v>
      </c>
      <c r="F14" s="18" t="n">
        <f aca="false">E14+ROUND(D14*7,0)</f>
        <v>46420</v>
      </c>
      <c r="G14" s="16" t="s">
        <v>89</v>
      </c>
      <c r="H14" s="16" t="s">
        <v>90</v>
      </c>
    </row>
    <row r="15" customFormat="false" ht="15" hidden="false" customHeight="false" outlineLevel="0" collapsed="false">
      <c r="A15" s="16" t="n">
        <v>5</v>
      </c>
      <c r="B15" s="17" t="s">
        <v>91</v>
      </c>
      <c r="C15" s="17" t="s">
        <v>92</v>
      </c>
      <c r="D15" s="12" t="n">
        <v>1.5</v>
      </c>
      <c r="E15" s="18" t="n">
        <f aca="false">F14</f>
        <v>46420</v>
      </c>
      <c r="F15" s="18" t="n">
        <f aca="false">E15+ROUND(D15*7,0)</f>
        <v>46431</v>
      </c>
      <c r="G15" s="16"/>
      <c r="H15" s="16"/>
    </row>
    <row r="16" customFormat="false" ht="15" hidden="false" customHeight="false" outlineLevel="0" collapsed="false">
      <c r="A16" s="16" t="n">
        <v>6</v>
      </c>
      <c r="B16" s="17" t="s">
        <v>93</v>
      </c>
      <c r="C16" s="17" t="s">
        <v>94</v>
      </c>
      <c r="D16" s="12" t="n">
        <v>1</v>
      </c>
      <c r="E16" s="18" t="n">
        <f aca="false">F15</f>
        <v>46431</v>
      </c>
      <c r="F16" s="18" t="n">
        <f aca="false">E16+ROUND(D16*7,0)</f>
        <v>46438</v>
      </c>
      <c r="G16" s="16"/>
      <c r="H16" s="16"/>
    </row>
    <row r="17" customFormat="false" ht="15" hidden="false" customHeight="false" outlineLevel="0" collapsed="false">
      <c r="A17" s="16" t="n">
        <v>7</v>
      </c>
      <c r="B17" s="17" t="s">
        <v>95</v>
      </c>
      <c r="C17" s="17" t="s">
        <v>92</v>
      </c>
      <c r="D17" s="12" t="n">
        <v>2</v>
      </c>
      <c r="E17" s="18" t="n">
        <f aca="false">F16</f>
        <v>46438</v>
      </c>
      <c r="F17" s="18" t="n">
        <f aca="false">E17+ROUND(D17*7,0)</f>
        <v>46452</v>
      </c>
      <c r="G17" s="16"/>
      <c r="H17" s="16"/>
    </row>
    <row r="18" customFormat="false" ht="26.85" hidden="false" customHeight="false" outlineLevel="0" collapsed="false">
      <c r="A18" s="16" t="n">
        <v>8</v>
      </c>
      <c r="B18" s="17" t="s">
        <v>96</v>
      </c>
      <c r="C18" s="17" t="s">
        <v>97</v>
      </c>
      <c r="D18" s="12" t="n">
        <v>1.5</v>
      </c>
      <c r="E18" s="18" t="n">
        <f aca="false">F17</f>
        <v>46452</v>
      </c>
      <c r="F18" s="18" t="n">
        <f aca="false">E18+ROUND(D18*7,0)</f>
        <v>46463</v>
      </c>
      <c r="G18" s="16" t="s">
        <v>98</v>
      </c>
      <c r="H18" s="16" t="s">
        <v>99</v>
      </c>
    </row>
    <row r="19" customFormat="false" ht="15" hidden="false" customHeight="false" outlineLevel="0" collapsed="false">
      <c r="A19" s="16" t="n">
        <v>9</v>
      </c>
      <c r="B19" s="17" t="s">
        <v>100</v>
      </c>
      <c r="C19" s="17" t="s">
        <v>101</v>
      </c>
      <c r="D19" s="12" t="n">
        <v>1</v>
      </c>
      <c r="E19" s="18" t="n">
        <f aca="false">F18</f>
        <v>46463</v>
      </c>
      <c r="F19" s="18" t="n">
        <f aca="false">E19+ROUND(D19*7,0)</f>
        <v>46470</v>
      </c>
      <c r="G19" s="16" t="s">
        <v>102</v>
      </c>
      <c r="H19" s="16"/>
    </row>
    <row r="20" customFormat="false" ht="15" hidden="false" customHeight="false" outlineLevel="0" collapsed="false">
      <c r="A20" s="16" t="n">
        <v>10</v>
      </c>
      <c r="B20" s="17" t="s">
        <v>103</v>
      </c>
      <c r="C20" s="17" t="s">
        <v>104</v>
      </c>
      <c r="D20" s="12" t="n">
        <v>2</v>
      </c>
      <c r="E20" s="18" t="n">
        <f aca="false">F19</f>
        <v>46470</v>
      </c>
      <c r="F20" s="18" t="n">
        <f aca="false">E20+ROUND(D20*7,0)</f>
        <v>46484</v>
      </c>
      <c r="G20" s="16"/>
      <c r="H20" s="16" t="s">
        <v>105</v>
      </c>
    </row>
    <row r="21" customFormat="false" ht="15" hidden="false" customHeight="false" outlineLevel="0" collapsed="false">
      <c r="A21" s="16" t="n">
        <v>11</v>
      </c>
      <c r="B21" s="17" t="s">
        <v>106</v>
      </c>
      <c r="C21" s="17" t="s">
        <v>104</v>
      </c>
      <c r="D21" s="12" t="n">
        <v>1</v>
      </c>
      <c r="E21" s="18" t="n">
        <f aca="false">F20</f>
        <v>46484</v>
      </c>
      <c r="F21" s="18" t="n">
        <f aca="false">E21+ROUND(D21*7,0)</f>
        <v>46491</v>
      </c>
      <c r="G21" s="16"/>
      <c r="H21" s="16"/>
    </row>
    <row r="22" customFormat="false" ht="26.85" hidden="false" customHeight="false" outlineLevel="0" collapsed="false">
      <c r="A22" s="16" t="n">
        <v>12</v>
      </c>
      <c r="B22" s="17" t="s">
        <v>107</v>
      </c>
      <c r="C22" s="17" t="s">
        <v>104</v>
      </c>
      <c r="D22" s="12" t="n">
        <v>1.5</v>
      </c>
      <c r="E22" s="18" t="n">
        <f aca="false">F21</f>
        <v>46491</v>
      </c>
      <c r="F22" s="18" t="n">
        <f aca="false">E22+ROUND(D22*7,0)</f>
        <v>46502</v>
      </c>
      <c r="G22" s="16"/>
      <c r="H22" s="16" t="s">
        <v>108</v>
      </c>
    </row>
    <row r="23" customFormat="false" ht="26.85" hidden="false" customHeight="false" outlineLevel="0" collapsed="false">
      <c r="A23" s="16" t="n">
        <v>13</v>
      </c>
      <c r="B23" s="17" t="s">
        <v>109</v>
      </c>
      <c r="C23" s="17" t="s">
        <v>97</v>
      </c>
      <c r="D23" s="12" t="n">
        <v>1</v>
      </c>
      <c r="E23" s="18" t="n">
        <f aca="false">F22</f>
        <v>46502</v>
      </c>
      <c r="F23" s="18" t="n">
        <f aca="false">E23+ROUND(D23*7,0)</f>
        <v>46509</v>
      </c>
      <c r="G23" s="16" t="s">
        <v>110</v>
      </c>
      <c r="H23" s="16"/>
    </row>
    <row r="24" customFormat="false" ht="15" hidden="false" customHeight="false" outlineLevel="0" collapsed="false">
      <c r="A24" s="16" t="n">
        <v>14</v>
      </c>
      <c r="B24" s="17" t="s">
        <v>111</v>
      </c>
      <c r="C24" s="17" t="s">
        <v>112</v>
      </c>
      <c r="D24" s="12" t="n">
        <v>1</v>
      </c>
      <c r="E24" s="18" t="n">
        <f aca="false">F23</f>
        <v>46509</v>
      </c>
      <c r="F24" s="18" t="n">
        <f aca="false">E24+ROUND(D24*7,0)</f>
        <v>46516</v>
      </c>
      <c r="G24" s="16" t="s">
        <v>113</v>
      </c>
      <c r="H24" s="16" t="s">
        <v>114</v>
      </c>
    </row>
    <row r="25" customFormat="false" ht="15" hidden="false" customHeight="false" outlineLevel="0" collapsed="false">
      <c r="A25" s="2"/>
      <c r="B25" s="2"/>
      <c r="C25" s="2"/>
      <c r="D25" s="2"/>
      <c r="E25" s="2"/>
      <c r="F25" s="2"/>
      <c r="G25" s="2"/>
      <c r="H25" s="2"/>
    </row>
    <row r="26" customFormat="false" ht="15" hidden="false" customHeight="false" outlineLevel="0" collapsed="false">
      <c r="A26" s="19" t="s">
        <v>115</v>
      </c>
      <c r="B26" s="2"/>
      <c r="C26" s="2"/>
      <c r="D26" s="2"/>
      <c r="E26" s="2"/>
      <c r="F26" s="2"/>
      <c r="G26" s="2"/>
      <c r="H26"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2"/>
    <col collapsed="false" customWidth="true" hidden="false" outlineLevel="0" max="3" min="3" style="0" width="16"/>
    <col collapsed="false" customWidth="true" hidden="false" outlineLevel="0" max="4" min="4" style="0" width="13"/>
    <col collapsed="false" customWidth="true" hidden="false" outlineLevel="0" max="5" min="5" style="0" width="16"/>
    <col collapsed="false" customWidth="true" hidden="false" outlineLevel="0" max="6" min="6" style="0" width="10"/>
    <col collapsed="false" customWidth="true" hidden="false" outlineLevel="0" max="8" min="7" style="0" width="18"/>
    <col collapsed="false" customWidth="true" hidden="false" outlineLevel="0" max="9" min="9" style="0" width="24"/>
  </cols>
  <sheetData>
    <row r="1" customFormat="false" ht="17.35" hidden="false" customHeight="false" outlineLevel="0" collapsed="false">
      <c r="A1" s="10" t="s">
        <v>116</v>
      </c>
      <c r="B1" s="2"/>
      <c r="C1" s="2"/>
      <c r="D1" s="2"/>
      <c r="E1" s="2"/>
      <c r="F1" s="2"/>
      <c r="G1" s="2"/>
      <c r="H1" s="2"/>
      <c r="I1" s="2"/>
    </row>
    <row r="2" customFormat="false" ht="15" hidden="false" customHeight="false" outlineLevel="0" collapsed="false">
      <c r="A2" s="3" t="s">
        <v>117</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15" hidden="false" customHeight="false" outlineLevel="0" collapsed="false">
      <c r="A4" s="2" t="s">
        <v>38</v>
      </c>
      <c r="B4" s="20" t="n">
        <v>123030.16</v>
      </c>
      <c r="C4" s="2" t="s">
        <v>118</v>
      </c>
      <c r="D4" s="2"/>
      <c r="E4" s="2"/>
      <c r="F4" s="2"/>
      <c r="G4" s="2"/>
      <c r="H4" s="2"/>
      <c r="I4" s="2"/>
    </row>
    <row r="5" customFormat="false" ht="15" hidden="false" customHeight="false" outlineLevel="0" collapsed="false">
      <c r="A5" s="2" t="s">
        <v>119</v>
      </c>
      <c r="B5" s="21" t="n">
        <v>0.13</v>
      </c>
      <c r="C5" s="2"/>
      <c r="D5" s="2"/>
      <c r="E5" s="2"/>
      <c r="F5" s="2"/>
      <c r="G5" s="2"/>
      <c r="H5" s="2"/>
      <c r="I5" s="2"/>
    </row>
    <row r="6" customFormat="false" ht="15" hidden="false" customHeight="false" outlineLevel="0" collapsed="false">
      <c r="A6" s="2" t="s">
        <v>120</v>
      </c>
      <c r="B6" s="22" t="n">
        <f aca="false">B4-Inputs!$B$5</f>
        <v>8960.16</v>
      </c>
      <c r="C6" s="2"/>
      <c r="D6" s="2"/>
      <c r="E6" s="2"/>
      <c r="F6" s="2"/>
      <c r="G6" s="2"/>
      <c r="H6" s="2"/>
      <c r="I6" s="2"/>
    </row>
    <row r="7" customFormat="false" ht="15" hidden="false" customHeight="false" outlineLevel="0" collapsed="false">
      <c r="A7" s="2"/>
      <c r="B7" s="2"/>
      <c r="C7" s="2"/>
      <c r="D7" s="2"/>
      <c r="E7" s="2"/>
      <c r="F7" s="2"/>
      <c r="G7" s="2"/>
      <c r="H7" s="2"/>
      <c r="I7" s="2"/>
    </row>
    <row r="8" customFormat="false" ht="23.85" hidden="false" customHeight="false" outlineLevel="0" collapsed="false">
      <c r="A8" s="15" t="s">
        <v>121</v>
      </c>
      <c r="B8" s="15" t="s">
        <v>122</v>
      </c>
      <c r="C8" s="15" t="s">
        <v>123</v>
      </c>
      <c r="D8" s="15" t="s">
        <v>124</v>
      </c>
      <c r="E8" s="15" t="s">
        <v>125</v>
      </c>
      <c r="F8" s="15" t="s">
        <v>20</v>
      </c>
      <c r="G8" s="15" t="s">
        <v>126</v>
      </c>
      <c r="H8" s="15" t="s">
        <v>127</v>
      </c>
      <c r="I8" s="15" t="s">
        <v>128</v>
      </c>
    </row>
    <row r="9" customFormat="false" ht="15" hidden="false" customHeight="false" outlineLevel="0" collapsed="false">
      <c r="A9" s="16" t="s">
        <v>129</v>
      </c>
      <c r="B9" s="23" t="n">
        <v>0.05</v>
      </c>
      <c r="C9" s="24" t="n">
        <f aca="false">$B$4*B9</f>
        <v>6151.508</v>
      </c>
      <c r="D9" s="24" t="n">
        <f aca="false">C9*$B$5</f>
        <v>799.69604</v>
      </c>
      <c r="E9" s="24" t="n">
        <f aca="false">C9+D9</f>
        <v>6951.20404</v>
      </c>
      <c r="F9" s="25" t="s">
        <v>130</v>
      </c>
      <c r="G9" s="24" t="n">
        <f aca="false">IF(F9="Paid",E9,0)</f>
        <v>6951.20404</v>
      </c>
      <c r="H9" s="24" t="n">
        <f aca="false">E9-G9</f>
        <v>0</v>
      </c>
      <c r="I9" s="16" t="s">
        <v>131</v>
      </c>
    </row>
    <row r="10" customFormat="false" ht="15" hidden="false" customHeight="false" outlineLevel="0" collapsed="false">
      <c r="A10" s="16" t="s">
        <v>132</v>
      </c>
      <c r="B10" s="23" t="n">
        <v>0.1</v>
      </c>
      <c r="C10" s="24" t="n">
        <f aca="false">$B$4*B10</f>
        <v>12303.016</v>
      </c>
      <c r="D10" s="24" t="n">
        <f aca="false">C10*$B$5</f>
        <v>1599.39208</v>
      </c>
      <c r="E10" s="24" t="n">
        <f aca="false">C10+D10</f>
        <v>13902.40808</v>
      </c>
      <c r="F10" s="25" t="s">
        <v>133</v>
      </c>
      <c r="G10" s="24" t="n">
        <f aca="false">IF(F10="Paid",E10,0)</f>
        <v>0</v>
      </c>
      <c r="H10" s="24" t="n">
        <f aca="false">E10-G10</f>
        <v>13902.40808</v>
      </c>
      <c r="I10" s="16" t="s">
        <v>134</v>
      </c>
    </row>
    <row r="11" customFormat="false" ht="15" hidden="false" customHeight="false" outlineLevel="0" collapsed="false">
      <c r="A11" s="16" t="s">
        <v>135</v>
      </c>
      <c r="B11" s="23" t="n">
        <v>0.15</v>
      </c>
      <c r="C11" s="24" t="n">
        <f aca="false">$B$4*B11</f>
        <v>18454.524</v>
      </c>
      <c r="D11" s="24" t="n">
        <f aca="false">C11*$B$5</f>
        <v>2399.08812</v>
      </c>
      <c r="E11" s="24" t="n">
        <f aca="false">C11+D11</f>
        <v>20853.61212</v>
      </c>
      <c r="F11" s="25" t="s">
        <v>133</v>
      </c>
      <c r="G11" s="24" t="n">
        <f aca="false">IF(F11="Paid",E11,0)</f>
        <v>0</v>
      </c>
      <c r="H11" s="24" t="n">
        <f aca="false">E11-G11</f>
        <v>20853.61212</v>
      </c>
      <c r="I11" s="26" t="n">
        <f aca="false">Schedule!$E$11</f>
        <v>46367</v>
      </c>
    </row>
    <row r="12" customFormat="false" ht="15" hidden="false" customHeight="false" outlineLevel="0" collapsed="false">
      <c r="A12" s="16" t="s">
        <v>136</v>
      </c>
      <c r="B12" s="23" t="n">
        <v>0.3</v>
      </c>
      <c r="C12" s="24" t="n">
        <f aca="false">$B$4*B12</f>
        <v>36909.048</v>
      </c>
      <c r="D12" s="24" t="n">
        <f aca="false">C12*$B$5</f>
        <v>4798.17624</v>
      </c>
      <c r="E12" s="24" t="n">
        <f aca="false">C12+D12</f>
        <v>41707.22424</v>
      </c>
      <c r="F12" s="25" t="s">
        <v>133</v>
      </c>
      <c r="G12" s="24" t="n">
        <f aca="false">IF(F12="Paid",E12,0)</f>
        <v>0</v>
      </c>
      <c r="H12" s="24" t="n">
        <f aca="false">E12-G12</f>
        <v>41707.22424</v>
      </c>
      <c r="I12" s="26" t="n">
        <f aca="false">Schedule!$F$14</f>
        <v>46420</v>
      </c>
    </row>
    <row r="13" customFormat="false" ht="15" hidden="false" customHeight="false" outlineLevel="0" collapsed="false">
      <c r="A13" s="16" t="s">
        <v>137</v>
      </c>
      <c r="B13" s="23" t="n">
        <v>0.15</v>
      </c>
      <c r="C13" s="24" t="n">
        <f aca="false">$B$4*B13</f>
        <v>18454.524</v>
      </c>
      <c r="D13" s="24" t="n">
        <f aca="false">C13*$B$5</f>
        <v>2399.08812</v>
      </c>
      <c r="E13" s="24" t="n">
        <f aca="false">C13+D13</f>
        <v>20853.61212</v>
      </c>
      <c r="F13" s="25" t="s">
        <v>133</v>
      </c>
      <c r="G13" s="24" t="n">
        <f aca="false">IF(F13="Paid",E13,0)</f>
        <v>0</v>
      </c>
      <c r="H13" s="24" t="n">
        <f aca="false">E13-G13</f>
        <v>20853.61212</v>
      </c>
      <c r="I13" s="26" t="n">
        <f aca="false">Schedule!$F$18</f>
        <v>46463</v>
      </c>
    </row>
    <row r="14" customFormat="false" ht="15" hidden="false" customHeight="false" outlineLevel="0" collapsed="false">
      <c r="A14" s="16" t="s">
        <v>138</v>
      </c>
      <c r="B14" s="23" t="n">
        <v>0.1</v>
      </c>
      <c r="C14" s="24" t="n">
        <f aca="false">$B$4*B14</f>
        <v>12303.016</v>
      </c>
      <c r="D14" s="24" t="n">
        <f aca="false">C14*$B$5</f>
        <v>1599.39208</v>
      </c>
      <c r="E14" s="24" t="n">
        <f aca="false">C14+D14</f>
        <v>13902.40808</v>
      </c>
      <c r="F14" s="25" t="s">
        <v>133</v>
      </c>
      <c r="G14" s="24" t="n">
        <f aca="false">IF(F14="Paid",E14,0)</f>
        <v>0</v>
      </c>
      <c r="H14" s="24" t="n">
        <f aca="false">E14-G14</f>
        <v>13902.40808</v>
      </c>
      <c r="I14" s="26" t="n">
        <f aca="false">Schedule!$F$20</f>
        <v>46484</v>
      </c>
    </row>
    <row r="15" customFormat="false" ht="15" hidden="false" customHeight="false" outlineLevel="0" collapsed="false">
      <c r="A15" s="16" t="s">
        <v>139</v>
      </c>
      <c r="B15" s="23" t="n">
        <v>0.1</v>
      </c>
      <c r="C15" s="24" t="n">
        <f aca="false">$B$4*B15</f>
        <v>12303.016</v>
      </c>
      <c r="D15" s="24" t="n">
        <f aca="false">C15*$B$5</f>
        <v>1599.39208</v>
      </c>
      <c r="E15" s="24" t="n">
        <f aca="false">C15+D15</f>
        <v>13902.40808</v>
      </c>
      <c r="F15" s="25" t="s">
        <v>133</v>
      </c>
      <c r="G15" s="24" t="n">
        <f aca="false">IF(F15="Paid",E15,0)</f>
        <v>0</v>
      </c>
      <c r="H15" s="24" t="n">
        <f aca="false">E15-G15</f>
        <v>13902.40808</v>
      </c>
      <c r="I15" s="26" t="n">
        <f aca="false">Schedule!$F$22</f>
        <v>46502</v>
      </c>
    </row>
    <row r="16" customFormat="false" ht="15" hidden="false" customHeight="false" outlineLevel="0" collapsed="false">
      <c r="A16" s="16" t="s">
        <v>140</v>
      </c>
      <c r="B16" s="23" t="n">
        <v>0.05</v>
      </c>
      <c r="C16" s="24" t="n">
        <f aca="false">$B$4*B16</f>
        <v>6151.508</v>
      </c>
      <c r="D16" s="24" t="n">
        <f aca="false">C16*$B$5</f>
        <v>799.69604</v>
      </c>
      <c r="E16" s="24" t="n">
        <f aca="false">C16+D16</f>
        <v>6951.20404</v>
      </c>
      <c r="F16" s="25" t="s">
        <v>133</v>
      </c>
      <c r="G16" s="24" t="n">
        <f aca="false">IF(F16="Paid",E16,0)</f>
        <v>0</v>
      </c>
      <c r="H16" s="24" t="n">
        <f aca="false">E16-G16</f>
        <v>6951.20404</v>
      </c>
      <c r="I16" s="26" t="n">
        <f aca="false">Schedule!$F$24</f>
        <v>46516</v>
      </c>
    </row>
    <row r="17" customFormat="false" ht="15" hidden="false" customHeight="false" outlineLevel="0" collapsed="false">
      <c r="A17" s="27" t="s">
        <v>141</v>
      </c>
      <c r="B17" s="28" t="n">
        <f aca="false">SUM(B9:B16)</f>
        <v>1</v>
      </c>
      <c r="C17" s="29" t="n">
        <f aca="false">SUM(C9:C16)</f>
        <v>123030.16</v>
      </c>
      <c r="D17" s="29" t="n">
        <f aca="false">SUM(D9:D16)</f>
        <v>15993.9208</v>
      </c>
      <c r="E17" s="29" t="n">
        <f aca="false">SUM(E9:E16)</f>
        <v>139024.0808</v>
      </c>
      <c r="F17" s="27"/>
      <c r="G17" s="29" t="n">
        <f aca="false">SUM(G9:G16)</f>
        <v>6951.20404</v>
      </c>
      <c r="H17" s="29" t="n">
        <f aca="false">SUM(H9:H16)</f>
        <v>132072.87676</v>
      </c>
      <c r="I17" s="27"/>
    </row>
    <row r="18" customFormat="false" ht="15" hidden="false" customHeight="false" outlineLevel="0" collapsed="false">
      <c r="A18" s="19" t="str">
        <f aca="false">IF(ROUND(B17,4)=1,"Milestones add to 100%","CHECK: milestones do not add to 100%")</f>
        <v>Milestones add to 100%</v>
      </c>
      <c r="B18" s="2"/>
      <c r="C18" s="2"/>
      <c r="D18" s="2"/>
      <c r="E18" s="2"/>
      <c r="F18" s="2"/>
      <c r="G18" s="2"/>
      <c r="H18" s="2"/>
      <c r="I18" s="2"/>
    </row>
    <row r="19" customFormat="false" ht="15" hidden="false" customHeight="false" outlineLevel="0" collapsed="false">
      <c r="A19" s="19" t="s">
        <v>142</v>
      </c>
      <c r="B19" s="2"/>
      <c r="C19" s="2"/>
      <c r="D19" s="2"/>
      <c r="E19" s="2"/>
      <c r="F19" s="2"/>
      <c r="G19" s="2"/>
      <c r="H19" s="2"/>
      <c r="I19"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3" min="3" style="0" width="16"/>
    <col collapsed="false" customWidth="true" hidden="false" outlineLevel="0" max="4" min="4" style="0" width="30"/>
    <col collapsed="false" customWidth="true" hidden="false" outlineLevel="0" max="7" min="5" style="0" width="17"/>
    <col collapsed="false" customWidth="true" hidden="false" outlineLevel="0" max="8" min="8" style="0" width="11"/>
    <col collapsed="false" customWidth="true" hidden="false" outlineLevel="0" max="9" min="9" style="0" width="13"/>
  </cols>
  <sheetData>
    <row r="1" customFormat="false" ht="17.35" hidden="false" customHeight="false" outlineLevel="0" collapsed="false">
      <c r="A1" s="10" t="s">
        <v>143</v>
      </c>
      <c r="B1" s="2"/>
      <c r="C1" s="2"/>
      <c r="D1" s="2"/>
      <c r="E1" s="2"/>
      <c r="F1" s="2"/>
      <c r="G1" s="2"/>
      <c r="H1" s="2"/>
      <c r="I1" s="2"/>
    </row>
    <row r="2" customFormat="false" ht="15" hidden="false" customHeight="false" outlineLevel="0" collapsed="false">
      <c r="A2" s="3" t="str">
        <f aca="false">"Scenario: Fabiano at "&amp;TEXT(Inputs!$B$7,"$#,##0")&amp;IF(Inputs!$B$8="Yes"," incl. demo"," + demo "&amp;TEXT(Inputs!$B$9,"$#,##0"))&amp;" | Roof/siding: "&amp;Inputs!$B$10</f>
        <v>Scenario: Fabiano at $20,000 incl. demo | Roof/siding: Safety</v>
      </c>
      <c r="B2" s="2"/>
      <c r="C2" s="2"/>
      <c r="D2" s="2"/>
      <c r="E2" s="2"/>
      <c r="F2" s="2"/>
      <c r="G2" s="2"/>
      <c r="H2" s="2"/>
      <c r="I2" s="2"/>
    </row>
    <row r="3" customFormat="false" ht="15" hidden="false" customHeight="false" outlineLevel="0" collapsed="false">
      <c r="A3" s="2"/>
      <c r="B3" s="2"/>
      <c r="C3" s="2"/>
      <c r="D3" s="2"/>
      <c r="E3" s="2"/>
      <c r="F3" s="2"/>
      <c r="G3" s="2"/>
      <c r="H3" s="2"/>
      <c r="I3" s="2"/>
    </row>
    <row r="4" customFormat="false" ht="30" hidden="false" customHeight="true" outlineLevel="0" collapsed="false">
      <c r="A4" s="30" t="s">
        <v>144</v>
      </c>
      <c r="B4" s="30" t="s">
        <v>145</v>
      </c>
      <c r="C4" s="30" t="s">
        <v>146</v>
      </c>
      <c r="D4" s="30" t="s">
        <v>147</v>
      </c>
      <c r="E4" s="30" t="s">
        <v>148</v>
      </c>
      <c r="F4" s="30" t="s">
        <v>149</v>
      </c>
      <c r="G4" s="30" t="s">
        <v>150</v>
      </c>
      <c r="H4" s="30" t="s">
        <v>151</v>
      </c>
      <c r="I4" s="30" t="s">
        <v>152</v>
      </c>
    </row>
    <row r="5" customFormat="false" ht="15" hidden="false" customHeight="false" outlineLevel="0" collapsed="false">
      <c r="A5" s="16" t="s">
        <v>153</v>
      </c>
      <c r="B5" s="31" t="n">
        <v>30041</v>
      </c>
      <c r="C5" s="8" t="n">
        <f aca="false">_xlfn.MINIFS('All Bids'!$D$5:$D$34,'All Bids'!$A$5:$A$34,"General Works + Demo",'All Bids'!$C$5:$C$34,"Approved",'All Bids'!$D$5:$D$34,"&gt;0")</f>
        <v>57100</v>
      </c>
      <c r="D5" s="32" t="str">
        <f aca="false">IFERROR(INDEX('All Bids'!$B$5:$B$34,MATCH("General Works + Demo|"&amp;ROUND(C5,2),'All Bids'!$E$5:$E$34,0)),"No price yet")</f>
        <v>Renomar Inc (Olimpiu)</v>
      </c>
      <c r="E5" s="24" t="n">
        <f aca="false">C5</f>
        <v>57100</v>
      </c>
      <c r="F5" s="24" t="n">
        <f aca="false">Inputs!$B$7</f>
        <v>20000</v>
      </c>
      <c r="G5" s="24" t="n">
        <f aca="false">F5-B5</f>
        <v>-10041</v>
      </c>
      <c r="H5" s="33" t="n">
        <f aca="false">COUNTIFS('All Bids'!$A$5:$A$34,"General Works + Demo",'All Bids'!$C$5:$C$34,"Approved",'All Bids'!$D$5:$D$34,"&gt;0")</f>
        <v>1</v>
      </c>
      <c r="I5" s="25" t="n">
        <v>4</v>
      </c>
    </row>
    <row r="6" customFormat="false" ht="15" hidden="false" customHeight="false" outlineLevel="0" collapsed="false">
      <c r="A6" s="16" t="s">
        <v>154</v>
      </c>
      <c r="B6" s="31" t="n">
        <v>6290</v>
      </c>
      <c r="C6" s="8" t="n">
        <f aca="false">_xlfn.MINIFS('All Bids'!$D$5:$D$34,'All Bids'!$A$5:$A$34,"Demolition",'All Bids'!$C$5:$C$34,"Approved",'All Bids'!$D$5:$D$34,"&gt;0")</f>
        <v>0</v>
      </c>
      <c r="D6" s="32" t="str">
        <f aca="false">IFERROR(INDEX('All Bids'!$B$5:$B$34,MATCH("Demolition|"&amp;ROUND(C6,2),'All Bids'!$E$5:$E$34,0)),"No price yet")</f>
        <v>No price yet</v>
      </c>
      <c r="E6" s="24" t="n">
        <v>0</v>
      </c>
      <c r="F6" s="24" t="n">
        <f aca="false">IF(Inputs!$B$8="Yes",0,Inputs!$B$9)</f>
        <v>0</v>
      </c>
      <c r="G6" s="24" t="n">
        <f aca="false">F6-B6</f>
        <v>-6290</v>
      </c>
      <c r="H6" s="33" t="n">
        <f aca="false">COUNTIFS('All Bids'!$A$5:$A$34,"Demolition",'All Bids'!$C$5:$C$34,"Approved",'All Bids'!$D$5:$D$34,"&gt;0")</f>
        <v>0</v>
      </c>
      <c r="I6" s="25" t="n">
        <v>3</v>
      </c>
    </row>
    <row r="7" customFormat="false" ht="15" hidden="false" customHeight="false" outlineLevel="0" collapsed="false">
      <c r="A7" s="16" t="s">
        <v>155</v>
      </c>
      <c r="B7" s="31" t="n">
        <v>23128</v>
      </c>
      <c r="C7" s="8" t="n">
        <f aca="false">_xlfn.MINIFS('All Bids'!$D$5:$D$34,'All Bids'!$A$5:$A$34,"Framing",'All Bids'!$C$5:$C$34,"Approved",'All Bids'!$D$5:$D$34,"&gt;0")</f>
        <v>14000</v>
      </c>
      <c r="D7" s="32" t="str">
        <f aca="false">IFERROR(INDEX('All Bids'!$B$5:$B$34,MATCH("Framing|"&amp;ROUND(C7,2),'All Bids'!$E$5:$E$34,0)),"No price yet")</f>
        <v>Aryan</v>
      </c>
      <c r="E7" s="24" t="n">
        <f aca="false">C7</f>
        <v>14000</v>
      </c>
      <c r="F7" s="24" t="n">
        <f aca="false">E7</f>
        <v>14000</v>
      </c>
      <c r="G7" s="24" t="n">
        <f aca="false">F7-B7</f>
        <v>-9128</v>
      </c>
      <c r="H7" s="33" t="n">
        <f aca="false">COUNTIFS('All Bids'!$A$5:$A$34,"Framing",'All Bids'!$C$5:$C$34,"Approved",'All Bids'!$D$5:$D$34,"&gt;0")</f>
        <v>1</v>
      </c>
      <c r="I7" s="25" t="n">
        <v>3</v>
      </c>
    </row>
    <row r="8" customFormat="false" ht="15" hidden="false" customHeight="false" outlineLevel="0" collapsed="false">
      <c r="A8" s="16" t="s">
        <v>156</v>
      </c>
      <c r="B8" s="31" t="n">
        <v>4900</v>
      </c>
      <c r="C8" s="8" t="n">
        <f aca="false">_xlfn.MINIFS('All Bids'!$D$5:$D$34,'All Bids'!$A$5:$A$34,"Lumber",'All Bids'!$C$5:$C$34,"Approved",'All Bids'!$D$5:$D$34,"&gt;0")</f>
        <v>6386.19</v>
      </c>
      <c r="D8" s="32" t="str">
        <f aca="false">IFERROR(INDEX('All Bids'!$B$5:$B$34,MATCH("Lumber|"&amp;ROUND(C8,2),'All Bids'!$E$5:$E$34,0)),"No price yet")</f>
        <v>RONA (Jonathan)</v>
      </c>
      <c r="E8" s="24" t="n">
        <f aca="false">C8</f>
        <v>6386.19</v>
      </c>
      <c r="F8" s="24" t="n">
        <f aca="false">E8</f>
        <v>6386.19</v>
      </c>
      <c r="G8" s="24" t="n">
        <f aca="false">F8-B8</f>
        <v>1486.19</v>
      </c>
      <c r="H8" s="33" t="n">
        <f aca="false">COUNTIFS('All Bids'!$A$5:$A$34,"Lumber",'All Bids'!$C$5:$C$34,"Approved",'All Bids'!$D$5:$D$34,"&gt;0")</f>
        <v>3</v>
      </c>
      <c r="I8" s="25" t="n">
        <v>3</v>
      </c>
    </row>
    <row r="9" customFormat="false" ht="15" hidden="false" customHeight="false" outlineLevel="0" collapsed="false">
      <c r="A9" s="16" t="s">
        <v>157</v>
      </c>
      <c r="B9" s="31" t="n">
        <v>8010</v>
      </c>
      <c r="C9" s="8" t="n">
        <f aca="false">_xlfn.MINIFS('All Bids'!$D$5:$D$34,'All Bids'!$A$5:$A$34,"Flat Roofing",'All Bids'!$C$5:$C$34,"Approved",'All Bids'!$D$5:$D$34,"&gt;0")</f>
        <v>15700</v>
      </c>
      <c r="D9" s="32" t="str">
        <f aca="false">IFERROR(INDEX('All Bids'!$B$5:$B$34,MATCH("Flat Roofing|"&amp;ROUND(C9,2),'All Bids'!$E$5:$E$34,0)),"No price yet")</f>
        <v>Alps Roofing</v>
      </c>
      <c r="E9" s="24" t="n">
        <f aca="false">IF(Inputs!$B$10="Split",C9,0)</f>
        <v>0</v>
      </c>
      <c r="F9" s="24" t="n">
        <f aca="false">E9</f>
        <v>0</v>
      </c>
      <c r="G9" s="24" t="n">
        <f aca="false">IF(Inputs!$B$10="Split",F9-B9,0)</f>
        <v>0</v>
      </c>
      <c r="H9" s="33" t="n">
        <f aca="false">COUNTIFS('All Bids'!$A$5:$A$34,"Flat Roofing",'All Bids'!$C$5:$C$34,"Approved",'All Bids'!$D$5:$D$34,"&gt;0")</f>
        <v>1</v>
      </c>
      <c r="I9" s="25" t="n">
        <v>3</v>
      </c>
    </row>
    <row r="10" customFormat="false" ht="15" hidden="false" customHeight="false" outlineLevel="0" collapsed="false">
      <c r="A10" s="16" t="s">
        <v>158</v>
      </c>
      <c r="B10" s="31" t="n">
        <v>17750</v>
      </c>
      <c r="C10" s="8" t="n">
        <f aca="false">_xlfn.MINIFS('All Bids'!$D$5:$D$34,'All Bids'!$A$5:$A$34,"Siding",'All Bids'!$C$5:$C$34,"Approved",'All Bids'!$D$5:$D$34,"&gt;0")</f>
        <v>7900</v>
      </c>
      <c r="D10" s="32" t="str">
        <f aca="false">IFERROR(INDEX('All Bids'!$B$5:$B$34,MATCH("Siding|"&amp;ROUND(C10,2),'All Bids'!$E$5:$E$34,0)),"No price yet")</f>
        <v>Baz Aluminum</v>
      </c>
      <c r="E10" s="24" t="n">
        <f aca="false">IF(Inputs!$B$10="Split",C10,0)</f>
        <v>0</v>
      </c>
      <c r="F10" s="24" t="n">
        <f aca="false">E10</f>
        <v>0</v>
      </c>
      <c r="G10" s="24" t="n">
        <f aca="false">IF(Inputs!$B$10="Split",F10-B10,0)</f>
        <v>0</v>
      </c>
      <c r="H10" s="33" t="n">
        <f aca="false">COUNTIFS('All Bids'!$A$5:$A$34,"Siding",'All Bids'!$C$5:$C$34,"Approved",'All Bids'!$D$5:$D$34,"&gt;0")</f>
        <v>1</v>
      </c>
      <c r="I10" s="25" t="n">
        <v>3</v>
      </c>
    </row>
    <row r="11" customFormat="false" ht="15" hidden="false" customHeight="false" outlineLevel="0" collapsed="false">
      <c r="A11" s="16" t="s">
        <v>159</v>
      </c>
      <c r="B11" s="31" t="n">
        <v>0</v>
      </c>
      <c r="C11" s="8" t="n">
        <f aca="false">_xlfn.MINIFS('All Bids'!$D$5:$D$34,'All Bids'!$A$5:$A$34,"Roof + Siding + Skylight Combo",'All Bids'!$C$5:$C$34,"Approved",'All Bids'!$D$5:$D$34,"&gt;0")</f>
        <v>20580</v>
      </c>
      <c r="D11" s="32" t="str">
        <f aca="false">IFERROR(INDEX('All Bids'!$B$5:$B$34,MATCH("Roof + Siding + Skylight Combo|"&amp;ROUND(C11,2),'All Bids'!$E$5:$E$34,0)),"No price yet")</f>
        <v>Safety Roofing (Elvis)</v>
      </c>
      <c r="E11" s="24" t="n">
        <f aca="false">IF(Inputs!$B$10="Split",0,C11)</f>
        <v>20580</v>
      </c>
      <c r="F11" s="24" t="n">
        <f aca="false">E11</f>
        <v>20580</v>
      </c>
      <c r="G11" s="24" t="n">
        <f aca="false">IF(Inputs!$B$10="Split",0,F11-(B9+B10))</f>
        <v>-5180</v>
      </c>
      <c r="H11" s="33" t="n">
        <f aca="false">COUNTIFS('All Bids'!$A$5:$A$34,"Roof + Siding + Skylight Combo",'All Bids'!$C$5:$C$34,"Approved",'All Bids'!$D$5:$D$34,"&gt;0")</f>
        <v>1</v>
      </c>
      <c r="I11" s="25" t="n">
        <v>1</v>
      </c>
    </row>
    <row r="12" customFormat="false" ht="15" hidden="false" customHeight="false" outlineLevel="0" collapsed="false">
      <c r="A12" s="16" t="s">
        <v>160</v>
      </c>
      <c r="B12" s="31" t="n">
        <v>6750</v>
      </c>
      <c r="C12" s="8" t="n">
        <f aca="false">_xlfn.MINIFS('All Bids'!$D$5:$D$34,'All Bids'!$A$5:$A$34,"HVAC",'All Bids'!$C$5:$C$34,"Approved",'All Bids'!$D$5:$D$34,"&gt;0")</f>
        <v>9370</v>
      </c>
      <c r="D12" s="32" t="str">
        <f aca="false">IFERROR(INDEX('All Bids'!$B$5:$B$34,MATCH("HVAC|"&amp;ROUND(C12,2),'All Bids'!$E$5:$E$34,0)),"No price yet")</f>
        <v>Ideal Heating (Leena)</v>
      </c>
      <c r="E12" s="24" t="n">
        <f aca="false">C12</f>
        <v>9370</v>
      </c>
      <c r="F12" s="24" t="n">
        <f aca="false">E12</f>
        <v>9370</v>
      </c>
      <c r="G12" s="24" t="n">
        <f aca="false">F12-B12</f>
        <v>2620</v>
      </c>
      <c r="H12" s="33" t="n">
        <f aca="false">COUNTIFS('All Bids'!$A$5:$A$34,"HVAC",'All Bids'!$C$5:$C$34,"Approved",'All Bids'!$D$5:$D$34,"&gt;0")</f>
        <v>2</v>
      </c>
      <c r="I12" s="25" t="n">
        <v>3</v>
      </c>
    </row>
    <row r="13" customFormat="false" ht="15" hidden="false" customHeight="false" outlineLevel="0" collapsed="false">
      <c r="A13" s="16" t="s">
        <v>161</v>
      </c>
      <c r="B13" s="31" t="n">
        <v>3430</v>
      </c>
      <c r="C13" s="8" t="n">
        <f aca="false">_xlfn.MINIFS('All Bids'!$D$5:$D$34,'All Bids'!$A$5:$A$34,"Spray Foam",'All Bids'!$C$5:$C$34,"Approved",'All Bids'!$D$5:$D$34,"&gt;0")</f>
        <v>3360.5</v>
      </c>
      <c r="D13" s="32" t="str">
        <f aca="false">IFERROR(INDEX('All Bids'!$B$5:$B$34,MATCH("Spray Foam|"&amp;ROUND(C13,2),'All Bids'!$E$5:$E$34,0)),"No price yet")</f>
        <v>FoamIt (Nadia)</v>
      </c>
      <c r="E13" s="24" t="n">
        <f aca="false">C13</f>
        <v>3360.5</v>
      </c>
      <c r="F13" s="24" t="n">
        <f aca="false">E13</f>
        <v>3360.5</v>
      </c>
      <c r="G13" s="24" t="n">
        <f aca="false">F13-B13</f>
        <v>-69.5</v>
      </c>
      <c r="H13" s="33" t="n">
        <f aca="false">COUNTIFS('All Bids'!$A$5:$A$34,"Spray Foam",'All Bids'!$C$5:$C$34,"Approved",'All Bids'!$D$5:$D$34,"&gt;0")</f>
        <v>1</v>
      </c>
      <c r="I13" s="25" t="n">
        <v>3</v>
      </c>
    </row>
    <row r="14" customFormat="false" ht="15" hidden="false" customHeight="false" outlineLevel="0" collapsed="false">
      <c r="A14" s="16" t="s">
        <v>162</v>
      </c>
      <c r="B14" s="31" t="n">
        <v>11500</v>
      </c>
      <c r="C14" s="24" t="n">
        <v>0</v>
      </c>
      <c r="D14" s="16" t="s">
        <v>163</v>
      </c>
      <c r="E14" s="24" t="n">
        <f aca="false">B14</f>
        <v>11500</v>
      </c>
      <c r="F14" s="24" t="n">
        <f aca="false">E14</f>
        <v>11500</v>
      </c>
      <c r="G14" s="24" t="n">
        <f aca="false">F14-B14</f>
        <v>0</v>
      </c>
      <c r="H14" s="16" t="n">
        <v>0</v>
      </c>
      <c r="I14" s="25" t="n">
        <v>1</v>
      </c>
    </row>
    <row r="15" customFormat="false" ht="15" hidden="false" customHeight="false" outlineLevel="0" collapsed="false">
      <c r="A15" s="27" t="s">
        <v>164</v>
      </c>
      <c r="B15" s="29" t="n">
        <f aca="false">SUM(B5:B14)</f>
        <v>111799</v>
      </c>
      <c r="C15" s="27"/>
      <c r="D15" s="27"/>
      <c r="E15" s="29" t="n">
        <f aca="false">SUM(E5:E14)</f>
        <v>122296.69</v>
      </c>
      <c r="F15" s="29" t="n">
        <f aca="false">SUM(F5:F14)</f>
        <v>85196.69</v>
      </c>
      <c r="G15" s="29" t="n">
        <f aca="false">SUM(G5:G14)</f>
        <v>-26602.31</v>
      </c>
      <c r="H15" s="27"/>
      <c r="I15" s="27"/>
    </row>
    <row r="16" customFormat="false" ht="15" hidden="false" customHeight="false" outlineLevel="0" collapsed="false">
      <c r="A16" s="2"/>
      <c r="B16" s="2"/>
      <c r="C16" s="2"/>
      <c r="D16" s="2"/>
      <c r="E16" s="2"/>
      <c r="F16" s="2"/>
      <c r="G16" s="2"/>
      <c r="H16" s="2"/>
      <c r="I16" s="2"/>
    </row>
    <row r="17" customFormat="false" ht="15" hidden="false" customHeight="false" outlineLevel="0" collapsed="false">
      <c r="A17" s="4" t="s">
        <v>165</v>
      </c>
      <c r="B17" s="5"/>
      <c r="C17" s="5"/>
      <c r="D17" s="5"/>
      <c r="E17" s="4" t="s">
        <v>148</v>
      </c>
      <c r="F17" s="4" t="s">
        <v>149</v>
      </c>
      <c r="G17" s="2"/>
      <c r="H17" s="2"/>
      <c r="I17" s="2"/>
    </row>
    <row r="18" customFormat="false" ht="15" hidden="false" customHeight="false" outlineLevel="0" collapsed="false">
      <c r="A18" s="2" t="s">
        <v>166</v>
      </c>
      <c r="B18" s="2"/>
      <c r="C18" s="2"/>
      <c r="D18" s="2"/>
      <c r="E18" s="8" t="n">
        <f aca="false">Inputs!$B$5</f>
        <v>114070</v>
      </c>
      <c r="F18" s="8" t="n">
        <f aca="false">Inputs!$B$5</f>
        <v>114070</v>
      </c>
      <c r="G18" s="2"/>
      <c r="H18" s="2"/>
      <c r="I18" s="2"/>
    </row>
    <row r="19" customFormat="false" ht="15" hidden="false" customHeight="false" outlineLevel="0" collapsed="false">
      <c r="A19" s="2" t="s">
        <v>167</v>
      </c>
      <c r="B19" s="2"/>
      <c r="C19" s="2"/>
      <c r="D19" s="2"/>
      <c r="E19" s="8" t="n">
        <f aca="false">Inputs!$B$5/(1+Inputs!$B$6)</f>
        <v>84496.2962962963</v>
      </c>
      <c r="F19" s="8" t="n">
        <f aca="false">Inputs!$B$5/(1+Inputs!$B$6)</f>
        <v>84496.2962962963</v>
      </c>
      <c r="G19" s="2"/>
      <c r="H19" s="2"/>
      <c r="I19" s="2"/>
    </row>
    <row r="20" customFormat="false" ht="15" hidden="false" customHeight="false" outlineLevel="0" collapsed="false">
      <c r="A20" s="2" t="s">
        <v>168</v>
      </c>
      <c r="B20" s="2"/>
      <c r="C20" s="2"/>
      <c r="D20" s="2"/>
      <c r="E20" s="34" t="n">
        <f aca="false">E15</f>
        <v>122296.69</v>
      </c>
      <c r="F20" s="34" t="n">
        <f aca="false">F15</f>
        <v>85196.69</v>
      </c>
      <c r="G20" s="2"/>
      <c r="H20" s="2"/>
      <c r="I20" s="2"/>
    </row>
    <row r="21" customFormat="false" ht="15" hidden="false" customHeight="false" outlineLevel="0" collapsed="false">
      <c r="A21" s="2" t="s">
        <v>169</v>
      </c>
      <c r="B21" s="2"/>
      <c r="C21" s="2"/>
      <c r="D21" s="2"/>
      <c r="E21" s="35" t="n">
        <f aca="false">E20-E19</f>
        <v>37800.3937037037</v>
      </c>
      <c r="F21" s="35" t="n">
        <f aca="false">F20-F19</f>
        <v>700.39370370371</v>
      </c>
      <c r="G21" s="2"/>
      <c r="H21" s="2"/>
      <c r="I21" s="2"/>
    </row>
    <row r="22" customFormat="false" ht="15" hidden="false" customHeight="false" outlineLevel="0" collapsed="false">
      <c r="A22" s="2" t="s">
        <v>170</v>
      </c>
      <c r="B22" s="2"/>
      <c r="C22" s="2"/>
      <c r="D22" s="2"/>
      <c r="E22" s="34" t="n">
        <f aca="false">E18-E20</f>
        <v>-8226.69</v>
      </c>
      <c r="F22" s="34" t="n">
        <f aca="false">F18-F20</f>
        <v>28873.31</v>
      </c>
      <c r="G22" s="2"/>
      <c r="H22" s="2"/>
      <c r="I22" s="2"/>
    </row>
    <row r="23" customFormat="false" ht="15" hidden="false" customHeight="false" outlineLevel="0" collapsed="false">
      <c r="A23" s="2" t="s">
        <v>171</v>
      </c>
      <c r="B23" s="2"/>
      <c r="C23" s="2"/>
      <c r="D23" s="2"/>
      <c r="E23" s="36" t="n">
        <f aca="false">IF(E18=0,0,E22/E18)</f>
        <v>-0.0721196633646007</v>
      </c>
      <c r="F23" s="36" t="n">
        <f aca="false">IF(F18=0,0,F22/F18)</f>
        <v>0.253119225037258</v>
      </c>
      <c r="G23" s="2"/>
      <c r="H23" s="2"/>
      <c r="I23" s="2"/>
    </row>
    <row r="24" customFormat="false" ht="15" hidden="false" customHeight="false" outlineLevel="0" collapsed="false">
      <c r="A24" s="2" t="s">
        <v>172</v>
      </c>
      <c r="B24" s="2"/>
      <c r="C24" s="2"/>
      <c r="D24" s="2"/>
      <c r="E24" s="36" t="n">
        <f aca="false">IF(E20=0,0,E22/E20)</f>
        <v>-0.0672682964682037</v>
      </c>
      <c r="F24" s="36" t="n">
        <f aca="false">IF(F20=0,0,F22/F20)</f>
        <v>0.338901781278122</v>
      </c>
      <c r="G24" s="2"/>
      <c r="H24" s="2"/>
      <c r="I24" s="2"/>
    </row>
    <row r="25" customFormat="false" ht="15" hidden="false" customHeight="false" outlineLevel="0" collapsed="false">
      <c r="A25" s="2" t="s">
        <v>173</v>
      </c>
      <c r="B25" s="2"/>
      <c r="C25" s="2"/>
      <c r="D25" s="2"/>
      <c r="E25" s="9" t="n">
        <f aca="false">Inputs!$B$6/(1+Inputs!$B$6)</f>
        <v>0.259259259259259</v>
      </c>
      <c r="F25" s="9" t="n">
        <f aca="false">Inputs!$B$6/(1+Inputs!$B$6)</f>
        <v>0.259259259259259</v>
      </c>
      <c r="G25" s="2"/>
      <c r="H25" s="2"/>
      <c r="I25" s="2"/>
    </row>
    <row r="26" customFormat="false" ht="15" hidden="false" customHeight="false" outlineLevel="0" collapsed="false">
      <c r="A26" s="2"/>
      <c r="B26" s="2"/>
      <c r="C26" s="2"/>
      <c r="D26" s="2"/>
      <c r="E26" s="2"/>
      <c r="F26" s="2"/>
      <c r="G26" s="2"/>
      <c r="H26" s="2"/>
      <c r="I26" s="2"/>
    </row>
    <row r="27" customFormat="false" ht="15" hidden="false" customHeight="false" outlineLevel="0" collapsed="false">
      <c r="A27" s="6" t="s">
        <v>174</v>
      </c>
      <c r="B27" s="2"/>
      <c r="C27" s="2"/>
      <c r="D27" s="2"/>
      <c r="E27" s="2"/>
      <c r="F27" s="2"/>
      <c r="G27" s="2"/>
      <c r="H27" s="2"/>
      <c r="I27" s="2"/>
    </row>
    <row r="28" customFormat="false" ht="15" hidden="false" customHeight="false" outlineLevel="0" collapsed="false">
      <c r="A28" s="2" t="s">
        <v>175</v>
      </c>
      <c r="B28" s="2"/>
      <c r="C28" s="2"/>
      <c r="D28" s="2"/>
      <c r="E28" s="34" t="n">
        <f aca="false">E20*Inputs!$B$11</f>
        <v>12229.669</v>
      </c>
      <c r="F28" s="34" t="n">
        <f aca="false">F20*Inputs!$B$11</f>
        <v>8519.669</v>
      </c>
      <c r="G28" s="2"/>
      <c r="H28" s="2"/>
      <c r="I28" s="2"/>
    </row>
    <row r="29" customFormat="false" ht="15" hidden="false" customHeight="false" outlineLevel="0" collapsed="false">
      <c r="A29" s="2" t="s">
        <v>176</v>
      </c>
      <c r="B29" s="2"/>
      <c r="C29" s="2"/>
      <c r="D29" s="2"/>
      <c r="E29" s="8" t="n">
        <f aca="false">Inputs!$B$12</f>
        <v>5000</v>
      </c>
      <c r="F29" s="8" t="n">
        <f aca="false">Inputs!$B$12</f>
        <v>5000</v>
      </c>
      <c r="G29" s="2"/>
      <c r="H29" s="2"/>
      <c r="I29" s="2"/>
    </row>
    <row r="30" customFormat="false" ht="15" hidden="false" customHeight="false" outlineLevel="0" collapsed="false">
      <c r="A30" s="2" t="s">
        <v>177</v>
      </c>
      <c r="B30" s="2"/>
      <c r="C30" s="2"/>
      <c r="D30" s="2"/>
      <c r="E30" s="35" t="n">
        <f aca="false">E20+E28+E29</f>
        <v>139526.359</v>
      </c>
      <c r="F30" s="35" t="n">
        <f aca="false">F20+F28+F29</f>
        <v>98716.359</v>
      </c>
      <c r="G30" s="2"/>
      <c r="H30" s="2"/>
      <c r="I30" s="2"/>
    </row>
    <row r="31" customFormat="false" ht="15" hidden="false" customHeight="false" outlineLevel="0" collapsed="false">
      <c r="A31" s="2" t="s">
        <v>178</v>
      </c>
      <c r="B31" s="2"/>
      <c r="C31" s="2"/>
      <c r="D31" s="2"/>
      <c r="E31" s="34" t="n">
        <f aca="false">E18-E30</f>
        <v>-25456.359</v>
      </c>
      <c r="F31" s="34" t="n">
        <f aca="false">F18-F30</f>
        <v>15353.641</v>
      </c>
      <c r="G31" s="2"/>
      <c r="H31" s="2"/>
      <c r="I31" s="2"/>
    </row>
    <row r="32" customFormat="false" ht="15" hidden="false" customHeight="false" outlineLevel="0" collapsed="false">
      <c r="A32" s="2" t="s">
        <v>179</v>
      </c>
      <c r="B32" s="2"/>
      <c r="C32" s="2"/>
      <c r="D32" s="2"/>
      <c r="E32" s="36" t="n">
        <f aca="false">IF(E18=0,0,E31/E18)</f>
        <v>-0.223164363987026</v>
      </c>
      <c r="F32" s="36" t="n">
        <f aca="false">IF(F18=0,0,F31/F18)</f>
        <v>0.134598413255019</v>
      </c>
      <c r="G32" s="2"/>
      <c r="H32" s="2"/>
      <c r="I32" s="2"/>
    </row>
    <row r="33" customFormat="false" ht="15" hidden="false" customHeight="false" outlineLevel="0" collapsed="false">
      <c r="A33" s="2"/>
      <c r="B33" s="2"/>
      <c r="C33" s="2"/>
      <c r="D33" s="2"/>
      <c r="E33" s="2"/>
      <c r="F33" s="2"/>
      <c r="G33" s="2"/>
      <c r="H33" s="2"/>
      <c r="I33" s="2"/>
    </row>
    <row r="34" customFormat="false" ht="15" hidden="false" customHeight="false" outlineLevel="0" collapsed="false">
      <c r="A34" s="37" t="s">
        <v>180</v>
      </c>
      <c r="B34" s="2"/>
      <c r="C34" s="2"/>
      <c r="D34" s="2"/>
      <c r="E34" s="2"/>
      <c r="F34" s="2"/>
      <c r="G34" s="2"/>
      <c r="H34" s="2"/>
      <c r="I34" s="2"/>
    </row>
    <row r="35" customFormat="false" ht="30" hidden="false" customHeight="true" outlineLevel="0" collapsed="false">
      <c r="A35" s="15" t="s">
        <v>181</v>
      </c>
      <c r="B35" s="15" t="s">
        <v>145</v>
      </c>
      <c r="C35" s="15" t="s">
        <v>182</v>
      </c>
      <c r="D35" s="15" t="s">
        <v>147</v>
      </c>
      <c r="E35" s="15" t="s">
        <v>183</v>
      </c>
      <c r="F35" s="15" t="s">
        <v>184</v>
      </c>
      <c r="G35" s="15" t="s">
        <v>185</v>
      </c>
      <c r="H35" s="2"/>
      <c r="I35" s="2"/>
    </row>
    <row r="36" customFormat="false" ht="15" hidden="false" customHeight="false" outlineLevel="0" collapsed="false">
      <c r="A36" s="16" t="s">
        <v>186</v>
      </c>
      <c r="B36" s="31" t="n">
        <v>36400</v>
      </c>
      <c r="C36" s="8" t="n">
        <f aca="false">_xlfn.MINIFS('All Bids'!$D$5:$D$34,'All Bids'!$A$5:$A$34,"Add-on: Brick Veneer",'All Bids'!$C$5:$C$34,"Approved",'All Bids'!$D$5:$D$34,"&gt;0")</f>
        <v>31200</v>
      </c>
      <c r="D36" s="32" t="str">
        <f aca="false">IFERROR(INDEX('All Bids'!$B$5:$B$34,MATCH("Add-on: Brick Veneer|"&amp;ROUND(C36,2),'All Bids'!$E$5:$E$34,0)),"No price yet")</f>
        <v>Amoroso Construction</v>
      </c>
      <c r="E36" s="31" t="n">
        <v>8000</v>
      </c>
      <c r="F36" s="24" t="n">
        <f aca="false">C36*(1+Inputs!$B$6)</f>
        <v>42120</v>
      </c>
      <c r="G36" s="24" t="n">
        <f aca="false">F36-E36</f>
        <v>34120</v>
      </c>
      <c r="H36" s="2"/>
      <c r="I36" s="2"/>
    </row>
    <row r="37" customFormat="false" ht="15" hidden="false" customHeight="false" outlineLevel="0" collapsed="false">
      <c r="A37" s="16" t="s">
        <v>187</v>
      </c>
      <c r="B37" s="31" t="n">
        <v>3960</v>
      </c>
      <c r="C37" s="8" t="n">
        <f aca="false">_xlfn.MINIFS('All Bids'!$D$5:$D$34,'All Bids'!$A$5:$A$34,"Add-on: Interior Brick",'All Bids'!$C$5:$C$34,"Approved",'All Bids'!$D$5:$D$34,"&gt;0")</f>
        <v>10800</v>
      </c>
      <c r="D37" s="32" t="str">
        <f aca="false">IFERROR(INDEX('All Bids'!$B$5:$B$34,MATCH("Add-on: Interior Brick|"&amp;ROUND(C37,2),'All Bids'!$E$5:$E$34,0)),"No price yet")</f>
        <v>Amoroso Construction</v>
      </c>
      <c r="E37" s="31" t="n">
        <v>3600</v>
      </c>
      <c r="F37" s="24" t="n">
        <f aca="false">C37*(1+Inputs!$B$6)</f>
        <v>14580</v>
      </c>
      <c r="G37" s="24" t="n">
        <f aca="false">F37-E37</f>
        <v>10980</v>
      </c>
      <c r="H37" s="2"/>
      <c r="I37" s="2"/>
    </row>
    <row r="38" customFormat="false" ht="15" hidden="false" customHeight="false" outlineLevel="0" collapsed="false">
      <c r="A38" s="16" t="s">
        <v>188</v>
      </c>
      <c r="B38" s="31" t="n">
        <v>4600</v>
      </c>
      <c r="C38" s="8" t="n">
        <f aca="false">_xlfn.MINIFS('All Bids'!$D$5:$D$34,'All Bids'!$A$5:$A$34,"Add-on: Skylight",'All Bids'!$C$5:$C$34,"Approved",'All Bids'!$D$5:$D$34,"&gt;0")</f>
        <v>3300</v>
      </c>
      <c r="D38" s="32" t="str">
        <f aca="false">IFERROR(INDEX('All Bids'!$B$5:$B$34,MATCH("Add-on: Skylight|"&amp;ROUND(C38,2),'All Bids'!$E$5:$E$34,0)),"No price yet")</f>
        <v>Skylight Services Ltd</v>
      </c>
      <c r="E38" s="31" t="n">
        <v>2500</v>
      </c>
      <c r="F38" s="24" t="n">
        <f aca="false">C38*(1+Inputs!$B$6)</f>
        <v>4455</v>
      </c>
      <c r="G38" s="24" t="n">
        <f aca="false">F38-E38</f>
        <v>1955</v>
      </c>
      <c r="H38" s="2"/>
      <c r="I38" s="2"/>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6" t="s">
        <v>189</v>
      </c>
      <c r="B40" s="20" t="n">
        <v>8470</v>
      </c>
      <c r="C40" s="38" t="n">
        <f aca="false">_xlfn.MINIFS('All Bids'!$D$5:$D$34,'All Bids'!$A$5:$A$34,"Windows (client-paid)",'All Bids'!$C$5:$C$34,"Approved",'All Bids'!$D$5:$D$34,"&gt;0")</f>
        <v>7850</v>
      </c>
      <c r="D40" s="39" t="str">
        <f aca="false">IFERROR(INDEX('All Bids'!$B$5:$B$34,MATCH("Windows (client-paid)|"&amp;ROUND(C40,2),'All Bids'!$E$5:$E$34,0)),"No price yet")</f>
        <v>JS Windows and Doors</v>
      </c>
      <c r="E40" s="2"/>
      <c r="F40" s="2"/>
      <c r="G40" s="2"/>
      <c r="H40" s="2"/>
      <c r="I40" s="2"/>
    </row>
    <row r="41" customFormat="false" ht="15" hidden="false" customHeight="false" outlineLevel="0" collapsed="false">
      <c r="A41" s="6" t="s">
        <v>190</v>
      </c>
      <c r="B41" s="20" t="n">
        <v>7549</v>
      </c>
      <c r="C41" s="2"/>
      <c r="D41" s="2" t="s">
        <v>191</v>
      </c>
      <c r="E41" s="2"/>
      <c r="F41" s="2"/>
      <c r="G41" s="2"/>
      <c r="H41" s="2"/>
      <c r="I41" s="2"/>
    </row>
    <row r="42" customFormat="false" ht="15" hidden="false" customHeight="false" outlineLevel="0" collapsed="false">
      <c r="A42" s="2"/>
      <c r="B42" s="2"/>
      <c r="C42" s="2"/>
      <c r="D42" s="2"/>
      <c r="E42" s="2"/>
      <c r="F42" s="2"/>
      <c r="G42" s="2"/>
      <c r="H42" s="2"/>
      <c r="I42" s="2"/>
    </row>
    <row r="43" customFormat="false" ht="15" hidden="false" customHeight="false" outlineLevel="0" collapsed="false">
      <c r="A43" s="6" t="s">
        <v>192</v>
      </c>
      <c r="B43" s="2"/>
      <c r="C43" s="2"/>
      <c r="D43" s="2"/>
      <c r="E43" s="2"/>
      <c r="F43" s="2"/>
      <c r="G43" s="2"/>
      <c r="H43" s="2"/>
      <c r="I43" s="2"/>
    </row>
    <row r="44" customFormat="false" ht="15" hidden="false" customHeight="false" outlineLevel="0" collapsed="false">
      <c r="A44" s="19" t="s">
        <v>193</v>
      </c>
      <c r="B44" s="2"/>
      <c r="C44" s="2"/>
      <c r="D44" s="2"/>
      <c r="E44" s="2"/>
      <c r="F44" s="2"/>
      <c r="G44" s="2"/>
      <c r="H44" s="2"/>
      <c r="I44" s="2"/>
    </row>
    <row r="45" customFormat="false" ht="15" hidden="false" customHeight="false" outlineLevel="0" collapsed="false">
      <c r="A45" s="19" t="s">
        <v>194</v>
      </c>
      <c r="B45" s="2"/>
      <c r="C45" s="2"/>
      <c r="D45" s="2"/>
      <c r="E45" s="2"/>
      <c r="F45" s="2"/>
      <c r="G45" s="2"/>
      <c r="H45" s="2"/>
      <c r="I45" s="2"/>
    </row>
    <row r="46" customFormat="false" ht="15" hidden="false" customHeight="false" outlineLevel="0" collapsed="false">
      <c r="A46" s="19" t="s">
        <v>195</v>
      </c>
      <c r="B46" s="2"/>
      <c r="C46" s="2"/>
      <c r="D46" s="2"/>
      <c r="E46" s="2"/>
      <c r="F46" s="2"/>
      <c r="G46" s="2"/>
      <c r="H46" s="2"/>
      <c r="I46" s="2"/>
    </row>
    <row r="47" customFormat="false" ht="15" hidden="false" customHeight="false" outlineLevel="0" collapsed="false">
      <c r="A47" s="19" t="s">
        <v>196</v>
      </c>
      <c r="B47" s="2"/>
      <c r="C47" s="2"/>
      <c r="D47" s="2"/>
      <c r="E47" s="2"/>
      <c r="F47" s="2"/>
      <c r="G47" s="2"/>
      <c r="H47" s="2"/>
      <c r="I47" s="2"/>
    </row>
    <row r="48" customFormat="false" ht="15" hidden="false" customHeight="false" outlineLevel="0" collapsed="false">
      <c r="A48" s="19" t="s">
        <v>197</v>
      </c>
      <c r="B48" s="2"/>
      <c r="C48" s="2"/>
      <c r="D48" s="2"/>
      <c r="E48" s="2"/>
      <c r="F48" s="2"/>
      <c r="G48" s="2"/>
      <c r="H48" s="2"/>
      <c r="I48" s="2"/>
    </row>
    <row r="49" customFormat="false" ht="15" hidden="false" customHeight="false" outlineLevel="0" collapsed="false">
      <c r="A49" s="19" t="s">
        <v>198</v>
      </c>
      <c r="B49" s="2"/>
      <c r="C49" s="2"/>
      <c r="D49" s="2"/>
      <c r="E49" s="2"/>
      <c r="F49" s="2"/>
      <c r="G49" s="2"/>
      <c r="H49" s="2"/>
      <c r="I49" s="2"/>
    </row>
    <row r="50" customFormat="false" ht="15" hidden="false" customHeight="false" outlineLevel="0" collapsed="false">
      <c r="A50" s="19" t="s">
        <v>199</v>
      </c>
      <c r="B50" s="2"/>
      <c r="C50" s="2"/>
      <c r="D50" s="2"/>
      <c r="E50" s="2"/>
      <c r="F50" s="2"/>
      <c r="G50" s="2"/>
      <c r="H50" s="2"/>
      <c r="I50" s="2"/>
    </row>
  </sheetData>
  <conditionalFormatting sqref="G5:G15">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H5:H14">
    <cfRule type="cellIs" priority="4" operator="lessThan" aboveAverage="0" equalAverage="0" bottom="0" percent="0" rank="0" text="" dxfId="2">
      <formula>I5</formula>
    </cfRule>
  </conditionalFormatting>
  <conditionalFormatting sqref="E21:F21">
    <cfRule type="cellIs" priority="5" operator="greaterThan" aboveAverage="0" equalAverage="0" bottom="0" percent="0" rank="0" text="" dxfId="2">
      <formula>0</formula>
    </cfRule>
    <cfRule type="cellIs" priority="6" operator="lessThanOrEqual" aboveAverage="0" equalAverage="0" bottom="0" percent="0" rank="0" text="" dxfId="3">
      <formula>0</formula>
    </cfRule>
  </conditionalFormatting>
  <conditionalFormatting sqref="G36:G38">
    <cfRule type="cellIs" priority="7" operator="greater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90"/>
  </cols>
  <sheetData>
    <row r="1" customFormat="false" ht="17.35" hidden="false" customHeight="false" outlineLevel="0" collapsed="false">
      <c r="A1" s="10" t="s">
        <v>200</v>
      </c>
      <c r="B1" s="2"/>
      <c r="C1" s="2"/>
    </row>
    <row r="2" customFormat="false" ht="15" hidden="false" customHeight="false" outlineLevel="0" collapsed="false">
      <c r="A2" s="3" t="s">
        <v>201</v>
      </c>
      <c r="B2" s="2"/>
      <c r="C2" s="2"/>
    </row>
    <row r="3" customFormat="false" ht="15" hidden="false" customHeight="false" outlineLevel="0" collapsed="false">
      <c r="A3" s="2"/>
      <c r="B3" s="2"/>
      <c r="C3" s="2"/>
    </row>
    <row r="4" customFormat="false" ht="15" hidden="false" customHeight="false" outlineLevel="0" collapsed="false">
      <c r="A4" s="4" t="s">
        <v>202</v>
      </c>
      <c r="B4" s="4" t="s">
        <v>203</v>
      </c>
      <c r="C4" s="4" t="s">
        <v>204</v>
      </c>
    </row>
    <row r="5" customFormat="false" ht="15" hidden="false" customHeight="false" outlineLevel="0" collapsed="false">
      <c r="A5" s="40" t="s">
        <v>205</v>
      </c>
      <c r="B5" s="41" t="n">
        <v>114070</v>
      </c>
      <c r="C5" s="19" t="s">
        <v>206</v>
      </c>
    </row>
    <row r="6" customFormat="false" ht="15" hidden="false" customHeight="false" outlineLevel="0" collapsed="false">
      <c r="A6" s="40" t="s">
        <v>207</v>
      </c>
      <c r="B6" s="42" t="n">
        <v>0.35</v>
      </c>
      <c r="C6" s="19" t="s">
        <v>208</v>
      </c>
    </row>
    <row r="7" customFormat="false" ht="15" hidden="false" customHeight="false" outlineLevel="0" collapsed="false">
      <c r="A7" s="40" t="s">
        <v>209</v>
      </c>
      <c r="B7" s="41" t="n">
        <v>20000</v>
      </c>
      <c r="C7" s="19" t="s">
        <v>210</v>
      </c>
    </row>
    <row r="8" customFormat="false" ht="15" hidden="false" customHeight="false" outlineLevel="0" collapsed="false">
      <c r="A8" s="40" t="s">
        <v>211</v>
      </c>
      <c r="B8" s="12" t="s">
        <v>212</v>
      </c>
      <c r="C8" s="19" t="s">
        <v>213</v>
      </c>
    </row>
    <row r="9" customFormat="false" ht="15" hidden="false" customHeight="false" outlineLevel="0" collapsed="false">
      <c r="A9" s="40" t="s">
        <v>214</v>
      </c>
      <c r="B9" s="41" t="n">
        <v>6290</v>
      </c>
      <c r="C9" s="19" t="s">
        <v>215</v>
      </c>
    </row>
    <row r="10" customFormat="false" ht="15" hidden="false" customHeight="false" outlineLevel="0" collapsed="false">
      <c r="A10" s="40" t="s">
        <v>216</v>
      </c>
      <c r="B10" s="12" t="s">
        <v>217</v>
      </c>
      <c r="C10" s="19" t="s">
        <v>218</v>
      </c>
    </row>
    <row r="11" customFormat="false" ht="15" hidden="false" customHeight="false" outlineLevel="0" collapsed="false">
      <c r="A11" s="40" t="s">
        <v>219</v>
      </c>
      <c r="B11" s="42" t="n">
        <v>0.1</v>
      </c>
      <c r="C11" s="19" t="s">
        <v>220</v>
      </c>
    </row>
    <row r="12" customFormat="false" ht="15" hidden="false" customHeight="false" outlineLevel="0" collapsed="false">
      <c r="A12" s="40" t="s">
        <v>176</v>
      </c>
      <c r="B12" s="41" t="n">
        <v>5000</v>
      </c>
      <c r="C12" s="19" t="s">
        <v>221</v>
      </c>
    </row>
  </sheetData>
  <dataValidations count="2">
    <dataValidation allowBlank="false" errorStyle="stop" operator="between" showDropDown="false" showErrorMessage="false" showInputMessage="false" sqref="B8" type="list">
      <formula1>"Yes,No"</formula1>
      <formula2>0</formula2>
    </dataValidation>
    <dataValidation allowBlank="false" errorStyle="stop" operator="between" showDropDown="false" showErrorMessage="false" showInputMessage="false" sqref="B10" type="list">
      <formula1>"Split,Safety"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2"/>
    <col collapsed="false" customWidth="true" hidden="false" outlineLevel="0" max="3" min="3" style="0" width="11"/>
    <col collapsed="false" customWidth="true" hidden="false" outlineLevel="0" max="4" min="4" style="0" width="14"/>
    <col collapsed="false" customWidth="true" hidden="false" outlineLevel="0" max="5" min="5" style="0" width="40"/>
    <col collapsed="false" customWidth="true" hidden="false" outlineLevel="0" max="6" min="6" style="0" width="11"/>
  </cols>
  <sheetData>
    <row r="1" customFormat="false" ht="17.35" hidden="false" customHeight="false" outlineLevel="0" collapsed="false">
      <c r="A1" s="10" t="s">
        <v>222</v>
      </c>
      <c r="B1" s="2"/>
      <c r="C1" s="2"/>
      <c r="D1" s="2"/>
      <c r="E1" s="2"/>
      <c r="F1" s="2"/>
    </row>
    <row r="2" customFormat="false" ht="15" hidden="false" customHeight="false" outlineLevel="0" collapsed="false">
      <c r="A2" s="3" t="s">
        <v>223</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15" t="s">
        <v>144</v>
      </c>
      <c r="B4" s="15" t="s">
        <v>224</v>
      </c>
      <c r="C4" s="15" t="s">
        <v>20</v>
      </c>
      <c r="D4" s="15" t="s">
        <v>225</v>
      </c>
      <c r="E4" s="15" t="s">
        <v>226</v>
      </c>
      <c r="F4" s="15" t="s">
        <v>227</v>
      </c>
    </row>
    <row r="5" customFormat="false" ht="15" hidden="false" customHeight="false" outlineLevel="0" collapsed="false">
      <c r="A5" s="43" t="s">
        <v>228</v>
      </c>
      <c r="B5" s="43" t="s">
        <v>229</v>
      </c>
      <c r="C5" s="43" t="s">
        <v>230</v>
      </c>
      <c r="D5" s="31" t="n">
        <v>57100</v>
      </c>
      <c r="E5" s="16" t="str">
        <f aca="false">IF(AND(C5="Approved",D5&gt;0),A5&amp;"|"&amp;ROUND(D5,2),"")</f>
        <v>General Works + Demo|57100</v>
      </c>
      <c r="F5" s="25" t="n">
        <v>46</v>
      </c>
    </row>
    <row r="6" customFormat="false" ht="15" hidden="false" customHeight="false" outlineLevel="0" collapsed="false">
      <c r="A6" s="43" t="s">
        <v>228</v>
      </c>
      <c r="B6" s="43" t="s">
        <v>231</v>
      </c>
      <c r="C6" s="43" t="s">
        <v>232</v>
      </c>
      <c r="D6" s="31" t="n">
        <v>0</v>
      </c>
      <c r="E6" s="16" t="str">
        <f aca="false">IF(AND(C6="Approved",D6&gt;0),A6&amp;"|"&amp;ROUND(D6,2),"")</f>
        <v/>
      </c>
      <c r="F6" s="25" t="n">
        <v>15</v>
      </c>
    </row>
    <row r="7" customFormat="false" ht="15" hidden="false" customHeight="false" outlineLevel="0" collapsed="false">
      <c r="A7" s="43" t="s">
        <v>233</v>
      </c>
      <c r="B7" s="43" t="s">
        <v>234</v>
      </c>
      <c r="C7" s="43" t="s">
        <v>232</v>
      </c>
      <c r="D7" s="31" t="n">
        <v>0</v>
      </c>
      <c r="E7" s="16" t="str">
        <f aca="false">IF(AND(C7="Approved",D7&gt;0),A7&amp;"|"&amp;ROUND(D7,2),"")</f>
        <v/>
      </c>
      <c r="F7" s="25" t="n">
        <v>10</v>
      </c>
    </row>
    <row r="8" customFormat="false" ht="15" hidden="false" customHeight="false" outlineLevel="0" collapsed="false">
      <c r="A8" s="43" t="s">
        <v>233</v>
      </c>
      <c r="B8" s="43" t="s">
        <v>235</v>
      </c>
      <c r="C8" s="43" t="s">
        <v>236</v>
      </c>
      <c r="D8" s="31" t="n">
        <v>0</v>
      </c>
      <c r="E8" s="16" t="str">
        <f aca="false">IF(AND(C8="Approved",D8&gt;0),A8&amp;"|"&amp;ROUND(D8,2),"")</f>
        <v/>
      </c>
      <c r="F8" s="25" t="n">
        <v>41</v>
      </c>
    </row>
    <row r="9" customFormat="false" ht="15" hidden="false" customHeight="false" outlineLevel="0" collapsed="false">
      <c r="A9" s="43" t="s">
        <v>233</v>
      </c>
      <c r="B9" s="43" t="s">
        <v>237</v>
      </c>
      <c r="C9" s="43" t="s">
        <v>236</v>
      </c>
      <c r="D9" s="31" t="n">
        <v>0</v>
      </c>
      <c r="E9" s="16" t="str">
        <f aca="false">IF(AND(C9="Approved",D9&gt;0),A9&amp;"|"&amp;ROUND(D9,2),"")</f>
        <v/>
      </c>
      <c r="F9" s="25" t="n">
        <v>42</v>
      </c>
    </row>
    <row r="10" customFormat="false" ht="15" hidden="false" customHeight="false" outlineLevel="0" collapsed="false">
      <c r="A10" s="43" t="s">
        <v>238</v>
      </c>
      <c r="B10" s="43" t="s">
        <v>239</v>
      </c>
      <c r="C10" s="43" t="s">
        <v>230</v>
      </c>
      <c r="D10" s="31" t="n">
        <v>14000</v>
      </c>
      <c r="E10" s="16" t="str">
        <f aca="false">IF(AND(C10="Approved",D10&gt;0),A10&amp;"|"&amp;ROUND(D10,2),"")</f>
        <v>Framing|14000</v>
      </c>
      <c r="F10" s="25" t="n">
        <v>31</v>
      </c>
    </row>
    <row r="11" customFormat="false" ht="15" hidden="false" customHeight="false" outlineLevel="0" collapsed="false">
      <c r="A11" s="43" t="s">
        <v>238</v>
      </c>
      <c r="B11" s="43" t="s">
        <v>240</v>
      </c>
      <c r="C11" s="43" t="s">
        <v>232</v>
      </c>
      <c r="D11" s="31" t="n">
        <v>0</v>
      </c>
      <c r="E11" s="16" t="str">
        <f aca="false">IF(AND(C11="Approved",D11&gt;0),A11&amp;"|"&amp;ROUND(D11,2),"")</f>
        <v/>
      </c>
      <c r="F11" s="25" t="n">
        <v>17</v>
      </c>
    </row>
    <row r="12" customFormat="false" ht="15" hidden="false" customHeight="false" outlineLevel="0" collapsed="false">
      <c r="A12" s="43" t="s">
        <v>238</v>
      </c>
      <c r="B12" s="43" t="s">
        <v>241</v>
      </c>
      <c r="C12" s="43" t="s">
        <v>236</v>
      </c>
      <c r="D12" s="31" t="n">
        <v>0</v>
      </c>
      <c r="E12" s="16" t="str">
        <f aca="false">IF(AND(C12="Approved",D12&gt;0),A12&amp;"|"&amp;ROUND(D12,2),"")</f>
        <v/>
      </c>
      <c r="F12" s="25" t="n">
        <v>30</v>
      </c>
    </row>
    <row r="13" customFormat="false" ht="15" hidden="false" customHeight="false" outlineLevel="0" collapsed="false">
      <c r="A13" s="43" t="s">
        <v>242</v>
      </c>
      <c r="B13" s="43" t="s">
        <v>243</v>
      </c>
      <c r="C13" s="43" t="s">
        <v>230</v>
      </c>
      <c r="D13" s="31" t="n">
        <v>6386.19</v>
      </c>
      <c r="E13" s="16" t="str">
        <f aca="false">IF(AND(C13="Approved",D13&gt;0),A13&amp;"|"&amp;ROUND(D13,2),"")</f>
        <v>Lumber|6386.19</v>
      </c>
      <c r="F13" s="25" t="n">
        <v>43</v>
      </c>
    </row>
    <row r="14" customFormat="false" ht="15" hidden="false" customHeight="false" outlineLevel="0" collapsed="false">
      <c r="A14" s="43" t="s">
        <v>242</v>
      </c>
      <c r="B14" s="43" t="s">
        <v>244</v>
      </c>
      <c r="C14" s="43" t="s">
        <v>230</v>
      </c>
      <c r="D14" s="31" t="n">
        <v>7040</v>
      </c>
      <c r="E14" s="16" t="str">
        <f aca="false">IF(AND(C14="Approved",D14&gt;0),A14&amp;"|"&amp;ROUND(D14,2),"")</f>
        <v>Lumber|7040</v>
      </c>
      <c r="F14" s="25" t="n">
        <v>50</v>
      </c>
    </row>
    <row r="15" customFormat="false" ht="15" hidden="false" customHeight="false" outlineLevel="0" collapsed="false">
      <c r="A15" s="43" t="s">
        <v>242</v>
      </c>
      <c r="B15" s="43" t="s">
        <v>245</v>
      </c>
      <c r="C15" s="43" t="s">
        <v>230</v>
      </c>
      <c r="D15" s="31" t="n">
        <v>7208.9</v>
      </c>
      <c r="E15" s="16" t="str">
        <f aca="false">IF(AND(C15="Approved",D15&gt;0),A15&amp;"|"&amp;ROUND(D15,2),"")</f>
        <v>Lumber|7208.9</v>
      </c>
      <c r="F15" s="25" t="n">
        <v>45</v>
      </c>
    </row>
    <row r="16" customFormat="false" ht="15" hidden="false" customHeight="false" outlineLevel="0" collapsed="false">
      <c r="A16" s="43" t="s">
        <v>157</v>
      </c>
      <c r="B16" s="43" t="s">
        <v>246</v>
      </c>
      <c r="C16" s="43" t="s">
        <v>230</v>
      </c>
      <c r="D16" s="31" t="n">
        <v>15700</v>
      </c>
      <c r="E16" s="16" t="str">
        <f aca="false">IF(AND(C16="Approved",D16&gt;0),A16&amp;"|"&amp;ROUND(D16,2),"")</f>
        <v>Flat Roofing|15700</v>
      </c>
      <c r="F16" s="25" t="n">
        <v>21</v>
      </c>
    </row>
    <row r="17" customFormat="false" ht="15" hidden="false" customHeight="false" outlineLevel="0" collapsed="false">
      <c r="A17" s="43" t="s">
        <v>157</v>
      </c>
      <c r="B17" s="43" t="s">
        <v>247</v>
      </c>
      <c r="C17" s="43" t="s">
        <v>236</v>
      </c>
      <c r="D17" s="31" t="n">
        <v>0</v>
      </c>
      <c r="E17" s="16" t="str">
        <f aca="false">IF(AND(C17="Approved",D17&gt;0),A17&amp;"|"&amp;ROUND(D17,2),"")</f>
        <v/>
      </c>
      <c r="F17" s="25" t="n">
        <v>32</v>
      </c>
    </row>
    <row r="18" customFormat="false" ht="15" hidden="false" customHeight="false" outlineLevel="0" collapsed="false">
      <c r="A18" s="43" t="s">
        <v>157</v>
      </c>
      <c r="B18" s="43" t="s">
        <v>248</v>
      </c>
      <c r="C18" s="43" t="s">
        <v>236</v>
      </c>
      <c r="D18" s="31" t="n">
        <v>0</v>
      </c>
      <c r="E18" s="16" t="str">
        <f aca="false">IF(AND(C18="Approved",D18&gt;0),A18&amp;"|"&amp;ROUND(D18,2),"")</f>
        <v/>
      </c>
      <c r="F18" s="25" t="n">
        <v>33</v>
      </c>
    </row>
    <row r="19" customFormat="false" ht="15" hidden="false" customHeight="false" outlineLevel="0" collapsed="false">
      <c r="A19" s="43" t="s">
        <v>249</v>
      </c>
      <c r="B19" s="43" t="s">
        <v>250</v>
      </c>
      <c r="C19" s="43" t="s">
        <v>230</v>
      </c>
      <c r="D19" s="31" t="n">
        <v>7900</v>
      </c>
      <c r="E19" s="16" t="str">
        <f aca="false">IF(AND(C19="Approved",D19&gt;0),A19&amp;"|"&amp;ROUND(D19,2),"")</f>
        <v>Siding|7900</v>
      </c>
      <c r="F19" s="25" t="n">
        <v>38</v>
      </c>
    </row>
    <row r="20" customFormat="false" ht="15" hidden="false" customHeight="false" outlineLevel="0" collapsed="false">
      <c r="A20" s="43" t="s">
        <v>249</v>
      </c>
      <c r="B20" s="43" t="s">
        <v>251</v>
      </c>
      <c r="C20" s="43" t="s">
        <v>236</v>
      </c>
      <c r="D20" s="31" t="n">
        <v>0</v>
      </c>
      <c r="E20" s="16" t="str">
        <f aca="false">IF(AND(C20="Approved",D20&gt;0),A20&amp;"|"&amp;ROUND(D20,2),"")</f>
        <v/>
      </c>
      <c r="F20" s="25" t="n">
        <v>39</v>
      </c>
    </row>
    <row r="21" customFormat="false" ht="15" hidden="false" customHeight="false" outlineLevel="0" collapsed="false">
      <c r="A21" s="43" t="s">
        <v>252</v>
      </c>
      <c r="B21" s="43" t="s">
        <v>253</v>
      </c>
      <c r="C21" s="43" t="s">
        <v>230</v>
      </c>
      <c r="D21" s="31" t="n">
        <v>20580</v>
      </c>
      <c r="E21" s="16" t="str">
        <f aca="false">IF(AND(C21="Approved",D21&gt;0),A21&amp;"|"&amp;ROUND(D21,2),"")</f>
        <v>Roof + Siding + Skylight Combo|20580</v>
      </c>
      <c r="F21" s="25" t="n">
        <v>49</v>
      </c>
    </row>
    <row r="22" customFormat="false" ht="15" hidden="false" customHeight="false" outlineLevel="0" collapsed="false">
      <c r="A22" s="43" t="s">
        <v>254</v>
      </c>
      <c r="B22" s="43" t="s">
        <v>255</v>
      </c>
      <c r="C22" s="43" t="s">
        <v>230</v>
      </c>
      <c r="D22" s="31" t="n">
        <v>9370</v>
      </c>
      <c r="E22" s="16" t="str">
        <f aca="false">IF(AND(C22="Approved",D22&gt;0),A22&amp;"|"&amp;ROUND(D22,2),"")</f>
        <v>HVAC|9370</v>
      </c>
      <c r="F22" s="25" t="n">
        <v>28</v>
      </c>
    </row>
    <row r="23" customFormat="false" ht="15" hidden="false" customHeight="false" outlineLevel="0" collapsed="false">
      <c r="A23" s="43" t="s">
        <v>254</v>
      </c>
      <c r="B23" s="43" t="s">
        <v>256</v>
      </c>
      <c r="C23" s="43" t="s">
        <v>230</v>
      </c>
      <c r="D23" s="31" t="n">
        <v>9950</v>
      </c>
      <c r="E23" s="16" t="str">
        <f aca="false">IF(AND(C23="Approved",D23&gt;0),A23&amp;"|"&amp;ROUND(D23,2),"")</f>
        <v>HVAC|9950</v>
      </c>
      <c r="F23" s="25" t="n">
        <v>18</v>
      </c>
    </row>
    <row r="24" customFormat="false" ht="15" hidden="false" customHeight="false" outlineLevel="0" collapsed="false">
      <c r="A24" s="43" t="s">
        <v>254</v>
      </c>
      <c r="B24" s="43" t="s">
        <v>257</v>
      </c>
      <c r="C24" s="43" t="s">
        <v>236</v>
      </c>
      <c r="D24" s="31" t="n">
        <v>0</v>
      </c>
      <c r="E24" s="16" t="str">
        <f aca="false">IF(AND(C24="Approved",D24&gt;0),A24&amp;"|"&amp;ROUND(D24,2),"")</f>
        <v/>
      </c>
      <c r="F24" s="25" t="n">
        <v>27</v>
      </c>
    </row>
    <row r="25" customFormat="false" ht="15" hidden="false" customHeight="false" outlineLevel="0" collapsed="false">
      <c r="A25" s="43" t="s">
        <v>254</v>
      </c>
      <c r="B25" s="43" t="s">
        <v>258</v>
      </c>
      <c r="C25" s="43" t="s">
        <v>236</v>
      </c>
      <c r="D25" s="31" t="n">
        <v>0</v>
      </c>
      <c r="E25" s="16" t="str">
        <f aca="false">IF(AND(C25="Approved",D25&gt;0),A25&amp;"|"&amp;ROUND(D25,2),"")</f>
        <v/>
      </c>
      <c r="F25" s="25" t="n">
        <v>29</v>
      </c>
    </row>
    <row r="26" customFormat="false" ht="15" hidden="false" customHeight="false" outlineLevel="0" collapsed="false">
      <c r="A26" s="43" t="s">
        <v>161</v>
      </c>
      <c r="B26" s="43" t="s">
        <v>259</v>
      </c>
      <c r="C26" s="43" t="s">
        <v>230</v>
      </c>
      <c r="D26" s="31" t="n">
        <v>3360.5</v>
      </c>
      <c r="E26" s="16" t="str">
        <f aca="false">IF(AND(C26="Approved",D26&gt;0),A26&amp;"|"&amp;ROUND(D26,2),"")</f>
        <v>Spray Foam|3360.5</v>
      </c>
      <c r="F26" s="25" t="n">
        <v>13</v>
      </c>
    </row>
    <row r="27" customFormat="false" ht="15" hidden="false" customHeight="false" outlineLevel="0" collapsed="false">
      <c r="A27" s="43" t="s">
        <v>260</v>
      </c>
      <c r="B27" s="43" t="s">
        <v>261</v>
      </c>
      <c r="C27" s="43" t="s">
        <v>230</v>
      </c>
      <c r="D27" s="31" t="n">
        <v>7850</v>
      </c>
      <c r="E27" s="16" t="str">
        <f aca="false">IF(AND(C27="Approved",D27&gt;0),A27&amp;"|"&amp;ROUND(D27,2),"")</f>
        <v>Windows (client-paid)|7850</v>
      </c>
      <c r="F27" s="25" t="n">
        <v>16</v>
      </c>
    </row>
    <row r="28" customFormat="false" ht="15" hidden="false" customHeight="false" outlineLevel="0" collapsed="false">
      <c r="A28" s="43" t="s">
        <v>260</v>
      </c>
      <c r="B28" s="43" t="s">
        <v>262</v>
      </c>
      <c r="C28" s="43" t="s">
        <v>230</v>
      </c>
      <c r="D28" s="31" t="n">
        <v>8340</v>
      </c>
      <c r="E28" s="16" t="str">
        <f aca="false">IF(AND(C28="Approved",D28&gt;0),A28&amp;"|"&amp;ROUND(D28,2),"")</f>
        <v>Windows (client-paid)|8340</v>
      </c>
      <c r="F28" s="25" t="n">
        <v>47</v>
      </c>
    </row>
    <row r="29" customFormat="false" ht="15" hidden="false" customHeight="false" outlineLevel="0" collapsed="false">
      <c r="A29" s="43" t="s">
        <v>260</v>
      </c>
      <c r="B29" s="43" t="s">
        <v>263</v>
      </c>
      <c r="C29" s="43" t="s">
        <v>230</v>
      </c>
      <c r="D29" s="31" t="n">
        <v>9646.02</v>
      </c>
      <c r="E29" s="16" t="str">
        <f aca="false">IF(AND(C29="Approved",D29&gt;0),A29&amp;"|"&amp;ROUND(D29,2),"")</f>
        <v>Windows (client-paid)|9646.02</v>
      </c>
      <c r="F29" s="25" t="n">
        <v>37</v>
      </c>
    </row>
    <row r="30" customFormat="false" ht="15" hidden="false" customHeight="false" outlineLevel="0" collapsed="false">
      <c r="A30" s="43" t="s">
        <v>264</v>
      </c>
      <c r="B30" s="43" t="s">
        <v>265</v>
      </c>
      <c r="C30" s="43" t="s">
        <v>230</v>
      </c>
      <c r="D30" s="31" t="n">
        <v>31200</v>
      </c>
      <c r="E30" s="16" t="str">
        <f aca="false">IF(AND(C30="Approved",D30&gt;0),A30&amp;"|"&amp;ROUND(D30,2),"")</f>
        <v>Add-on: Brick Veneer|31200</v>
      </c>
      <c r="F30" s="25" t="n">
        <v>12</v>
      </c>
    </row>
    <row r="31" customFormat="false" ht="15" hidden="false" customHeight="false" outlineLevel="0" collapsed="false">
      <c r="A31" s="43" t="s">
        <v>266</v>
      </c>
      <c r="B31" s="43" t="s">
        <v>265</v>
      </c>
      <c r="C31" s="43" t="s">
        <v>230</v>
      </c>
      <c r="D31" s="31" t="n">
        <v>10800</v>
      </c>
      <c r="E31" s="16" t="str">
        <f aca="false">IF(AND(C31="Approved",D31&gt;0),A31&amp;"|"&amp;ROUND(D31,2),"")</f>
        <v>Add-on: Interior Brick|10800</v>
      </c>
      <c r="F31" s="25" t="n">
        <v>14</v>
      </c>
    </row>
    <row r="32" customFormat="false" ht="15" hidden="false" customHeight="false" outlineLevel="0" collapsed="false">
      <c r="A32" s="43" t="s">
        <v>267</v>
      </c>
      <c r="B32" s="43" t="s">
        <v>268</v>
      </c>
      <c r="C32" s="43" t="s">
        <v>230</v>
      </c>
      <c r="D32" s="31" t="n">
        <v>3300</v>
      </c>
      <c r="E32" s="16" t="str">
        <f aca="false">IF(AND(C32="Approved",D32&gt;0),A32&amp;"|"&amp;ROUND(D32,2),"")</f>
        <v>Add-on: Skylight|3300</v>
      </c>
      <c r="F32" s="25" t="n">
        <v>24</v>
      </c>
    </row>
    <row r="33" customFormat="false" ht="15" hidden="false" customHeight="false" outlineLevel="0" collapsed="false">
      <c r="A33" s="43" t="s">
        <v>267</v>
      </c>
      <c r="B33" s="43" t="s">
        <v>269</v>
      </c>
      <c r="C33" s="43" t="s">
        <v>270</v>
      </c>
      <c r="D33" s="31" t="n">
        <v>300</v>
      </c>
      <c r="E33" s="16" t="str">
        <f aca="false">IF(AND(C33="Approved",D33&gt;0),A33&amp;"|"&amp;ROUND(D33,2),"")</f>
        <v/>
      </c>
      <c r="F33" s="25" t="n">
        <v>26</v>
      </c>
    </row>
    <row r="34" customFormat="false" ht="15" hidden="false" customHeight="false" outlineLevel="0" collapsed="false">
      <c r="A34" s="43" t="s">
        <v>271</v>
      </c>
      <c r="B34" s="43" t="s">
        <v>272</v>
      </c>
      <c r="C34" s="43" t="s">
        <v>230</v>
      </c>
      <c r="D34" s="31" t="n">
        <v>1215</v>
      </c>
      <c r="E34" s="16" t="str">
        <f aca="false">IF(AND(C34="Approved",D34&gt;0),A34&amp;"|"&amp;ROUND(D34,2),"")</f>
        <v>Hardwood Install (in GW scope)|1215</v>
      </c>
      <c r="F34" s="25" t="n">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2026-10-21T00:01:18Z</dcterms:created>
  <dc:creator>openpyxl</dc:creator>
  <dc:description/>
  <dc:language>en-US</dc:language>
  <cp:lastModifiedBy/>
  <dcterms:modified xsi:type="dcterms:W3CDTF">2026-10-21T00:01:18Z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