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sts" sheetId="2" state="visible" r:id="rId4"/>
    <sheet name="Offers" sheetId="3" state="visible" r:id="rId5"/>
    <sheet name="Schedule" sheetId="4" state="visible" r:id="rId6"/>
    <sheet name="Duration vs Margi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<sst xmlns="http://schemas.openxmlformats.org/spreadsheetml/2006/main" count="382" uniqueCount="262">
  <si>
    <t xml:space="preserve">38 Harewood Ave — Second Floor, Porch &amp; Beam | Internal Margin Model</t>
  </si>
  <si>
    <t xml:space="preserve">Julianne &amp; David Lee · PalmView Contracting Inc. · Prepared Oct 16, 2026 · INTERNAL — DO NOT SEND TO CLIENT · Blue text = editable input</t>
  </si>
  <si>
    <t xml:space="preserve">PROJECT INPUTS</t>
  </si>
  <si>
    <t xml:space="preserve">Input</t>
  </si>
  <si>
    <t xml:space="preserve">Value</t>
  </si>
  <si>
    <t xml:space="preserve">Source / note</t>
  </si>
  <si>
    <t xml:space="preserve">Construction start date</t>
  </si>
  <si>
    <t xml:space="preserve">Joist 110-351 schedule (~May 17, 2027). Change here — schedule updates automatically.</t>
  </si>
  <si>
    <t xml:space="preserve">Duration (weeks)</t>
  </si>
  <si>
    <t xml:space="preserve">Linked to Schedule tab (sum of phases). Edit phase weeks there.</t>
  </si>
  <si>
    <t xml:space="preserve">Substantial completion (est.)</t>
  </si>
  <si>
    <t xml:space="preserve">Start + duration, ending on a Friday.</t>
  </si>
  <si>
    <t xml:space="preserve">Duration (months, approx.)</t>
  </si>
  <si>
    <t xml:space="preserve">Option A contract price (pre-HST)</t>
  </si>
  <si>
    <t xml:space="preserve">Joist estimate 110-351: Section 2.0 $269,754.25 + service fee $1,625.50.</t>
  </si>
  <si>
    <t xml:space="preserve">Beam &amp; posts price (pre-HST)</t>
  </si>
  <si>
    <t xml:space="preserve">Recommended price to client for main-floor beam/posts only.</t>
  </si>
  <si>
    <t xml:space="preserve">HST rate</t>
  </si>
  <si>
    <t xml:space="preserve">Ontario HST.</t>
  </si>
  <si>
    <t xml:space="preserve">FV Renovations — general trades (2nd floor + porch)</t>
  </si>
  <si>
    <t xml:space="preserve">Per Raff: $35K–$40K. Midpoint used. Get FV's written A-only price.</t>
  </si>
  <si>
    <t xml:space="preserve">Project management ($/week)</t>
  </si>
  <si>
    <t xml:space="preserve">Sean's budgeting sheet rate.</t>
  </si>
  <si>
    <t xml:space="preserve">Site labour ($/week)</t>
  </si>
  <si>
    <t xml:space="preserve">Overhead ($/week)</t>
  </si>
  <si>
    <t xml:space="preserve">Per Raff: insurance, WSIB, office, vehicles, software.</t>
  </si>
  <si>
    <t xml:space="preserve">PROFIT SUMMARY (BASE — NO OFFERS)</t>
  </si>
  <si>
    <t xml:space="preserve">Line</t>
  </si>
  <si>
    <t xml:space="preserve">Amount</t>
  </si>
  <si>
    <t xml:space="preserve">% of price</t>
  </si>
  <si>
    <t xml:space="preserve">How it's calculated</t>
  </si>
  <si>
    <t xml:space="preserve">Option A contract (2nd floor, bath, porch)</t>
  </si>
  <si>
    <t xml:space="preserve">Joist 110-351</t>
  </si>
  <si>
    <t xml:space="preserve">Beam &amp; posts</t>
  </si>
  <si>
    <t xml:space="preserve">CONTRACT PRICE (pre-HST)</t>
  </si>
  <si>
    <t xml:space="preserve">HST</t>
  </si>
  <si>
    <t xml:space="preserve">CLIENT TOTAL (incl. HST)</t>
  </si>
  <si>
    <t xml:space="preserve">Hard cost — 2nd floor &amp; porch</t>
  </si>
  <si>
    <t xml:space="preserve">Costs tab</t>
  </si>
  <si>
    <t xml:space="preserve">Beam &amp; posts — added cost</t>
  </si>
  <si>
    <t xml:space="preserve">Project management</t>
  </si>
  <si>
    <t xml:space="preserve">Rate × weeks</t>
  </si>
  <si>
    <t xml:space="preserve">Site labour</t>
  </si>
  <si>
    <t xml:space="preserve">Overhead</t>
  </si>
  <si>
    <t xml:space="preserve">TOTAL COST</t>
  </si>
  <si>
    <t xml:space="preserve">NET PROFIT</t>
  </si>
  <si>
    <t xml:space="preserve">Margin (profit ÷ price)</t>
  </si>
  <si>
    <t xml:space="preserve">Markup (profit ÷ cost)</t>
  </si>
  <si>
    <t xml:space="preserve">Weekly carrying cost (PM + labour + overhead)</t>
  </si>
  <si>
    <t xml:space="preserve">Every extra week costs this</t>
  </si>
  <si>
    <t xml:space="preserve">WITH SELECTED OFFERS, UPSELLS &amp; COST SAVINGS (Offers tab — set Y/N)</t>
  </si>
  <si>
    <t xml:space="preserve">Note</t>
  </si>
  <si>
    <t xml:space="preserve">Price change from selected items</t>
  </si>
  <si>
    <t xml:space="preserve">Cost change from selected items</t>
  </si>
  <si>
    <t xml:space="preserve">ADJUSTED CONTRACT PRICE (pre-HST)</t>
  </si>
  <si>
    <t xml:space="preserve">ADJUSTED TOTAL COST</t>
  </si>
  <si>
    <t xml:space="preserve">ADJUSTED NET PROFIT</t>
  </si>
  <si>
    <t xml:space="preserve">Adjusted margin</t>
  </si>
  <si>
    <t xml:space="preserve">Adjusted markup</t>
  </si>
  <si>
    <t xml:space="preserve">Profit change vs. base</t>
  </si>
  <si>
    <t xml:space="preserve">PRICE NEEDED FOR TARGET MARGIN (at base cost)</t>
  </si>
  <si>
    <t xml:space="preserve">Target margin</t>
  </si>
  <si>
    <t xml:space="preserve">Price (pre-HST)</t>
  </si>
  <si>
    <t xml:space="preserve">vs. current</t>
  </si>
  <si>
    <t xml:space="preserve">Positive = how much the price would need to go up.</t>
  </si>
  <si>
    <t xml:space="preserve">Cost Breakdown — All PalmView Costs</t>
  </si>
  <si>
    <t xml:space="preserve">Bids = approved JobTread bids on job #6 'Harewood Avenue: Home Addition'. Blue = editable. Finish materials are client-supplied (see Exclusions).</t>
  </si>
  <si>
    <t xml:space="preserve">#</t>
  </si>
  <si>
    <t xml:space="preserve">Category</t>
  </si>
  <si>
    <t xml:space="preserve">Item</t>
  </si>
  <si>
    <t xml:space="preserve">Source</t>
  </si>
  <si>
    <t xml:space="preserve">Cost ($)</t>
  </si>
  <si>
    <t xml:space="preserve">Notes</t>
  </si>
  <si>
    <t xml:space="preserve">General conditions</t>
  </si>
  <si>
    <t xml:space="preserve">Temporary hoarding &amp; safety fencing</t>
  </si>
  <si>
    <t xml:space="preserve">Internal estimate</t>
  </si>
  <si>
    <t xml:space="preserve">Temporary toilet &amp; temporary hydro</t>
  </si>
  <si>
    <t xml:space="preserve">Misc. supplies, materials &amp; garbage</t>
  </si>
  <si>
    <t xml:space="preserve">FV bid includes the disposal bin.</t>
  </si>
  <si>
    <t xml:space="preserve">Safety supplies &amp; third-party inspections</t>
  </si>
  <si>
    <t xml:space="preserve">Scaffold / lift rental</t>
  </si>
  <si>
    <t xml:space="preserve">Allowance</t>
  </si>
  <si>
    <t xml:space="preserve">Second-floor exterior work.</t>
  </si>
  <si>
    <t xml:space="preserve">Weather protection while roof is off</t>
  </si>
  <si>
    <t xml:space="preserve">Tarps, temporary roof.</t>
  </si>
  <si>
    <t xml:space="preserve">Engineer field reviews</t>
  </si>
  <si>
    <t xml:space="preserve">Piers, framing per S1.01.</t>
  </si>
  <si>
    <t xml:space="preserve">Porch</t>
  </si>
  <si>
    <t xml:space="preserve">Concrete piers (porch)</t>
  </si>
  <si>
    <t xml:space="preserve">Per Raff</t>
  </si>
  <si>
    <t xml:space="preserve">Pier bids pending in JobTread.</t>
  </si>
  <si>
    <t xml:space="preserve">PT framing, decking &amp; railing material</t>
  </si>
  <si>
    <t xml:space="preserve">Framer bid is labour only.</t>
  </si>
  <si>
    <t xml:space="preserve">T&amp;G porch ceiling</t>
  </si>
  <si>
    <t xml:space="preserve">Structure</t>
  </si>
  <si>
    <t xml:space="preserve">Lumber package (framing, LVLs, sheathing, hardware)</t>
  </si>
  <si>
    <t xml:space="preserve">KOTT bid</t>
  </si>
  <si>
    <t xml:space="preserve">RONA $9,792 also approved.</t>
  </si>
  <si>
    <t xml:space="preserve">Framing labour (shoring, porch, 2nd floor, roof, beam install)</t>
  </si>
  <si>
    <t xml:space="preserve">Built By BC bid</t>
  </si>
  <si>
    <t xml:space="preserve">Aryan $18,000 / Bogdan $29,000.</t>
  </si>
  <si>
    <t xml:space="preserve">Exterior</t>
  </si>
  <si>
    <t xml:space="preserve">Roofing — IKO Cambridge, 2nd floor + porch</t>
  </si>
  <si>
    <t xml:space="preserve">Infinity Gutters bid</t>
  </si>
  <si>
    <t xml:space="preserve">CA Roofing $3,800 available (Offers tab).</t>
  </si>
  <si>
    <t xml:space="preserve">Aluminum — soffit, fascia, eaves, capping, flashing band</t>
  </si>
  <si>
    <t xml:space="preserve">Wrap, R5 rigid, Kaycan siding, Maibec, brackets, lattice</t>
  </si>
  <si>
    <t xml:space="preserve">Windows — 6 units, supply &amp; install</t>
  </si>
  <si>
    <t xml:space="preserve">JS Windows bid</t>
  </si>
  <si>
    <t xml:space="preserve">Welda $5,221 available. Confirm Joist supply vs. exclusion.</t>
  </si>
  <si>
    <t xml:space="preserve">Mechanical</t>
  </si>
  <si>
    <t xml:space="preserve">HVAC — 2nd floor, basement, main-floor diffusers, bath fan</t>
  </si>
  <si>
    <t xml:space="preserve">MiTech HVAC bid</t>
  </si>
  <si>
    <t xml:space="preserve">Ideal $12,398 / Sentral $13,479 — risk if MiTech drops.</t>
  </si>
  <si>
    <t xml:space="preserve">Furnace / water heater re-vent (chimney removed)</t>
  </si>
  <si>
    <t xml:space="preserve">Confirm on site whether they vent through chimney.</t>
  </si>
  <si>
    <t xml:space="preserve">Electrical</t>
  </si>
  <si>
    <t xml:space="preserve">200A service, mast, panel, Toronto Hydro, ESA</t>
  </si>
  <si>
    <t xml:space="preserve">FV Renovations bid</t>
  </si>
  <si>
    <t xml:space="preserve">General trades</t>
  </si>
  <si>
    <t xml:space="preserve">FV — demo, plumbing, electrical, wall insulation, drywall, paint, carpentry, full bathroom</t>
  </si>
  <si>
    <t xml:space="preserve">Per Raff (Summary B13)</t>
  </si>
  <si>
    <t xml:space="preserve">Linked to Summary input. FV full A+B bid was $78,000.</t>
  </si>
  <si>
    <t xml:space="preserve">Insulation</t>
  </si>
  <si>
    <t xml:space="preserve">Attic R60 blown-in + baffles</t>
  </si>
  <si>
    <t xml:space="preserve">FoamIt bid</t>
  </si>
  <si>
    <t xml:space="preserve">Bathroom</t>
  </si>
  <si>
    <t xml:space="preserve">Waterproofing &amp; tile setting materials</t>
  </si>
  <si>
    <t xml:space="preserve">Tile itself is client-supplied.</t>
  </si>
  <si>
    <t xml:space="preserve">Quartz shower curb jamb</t>
  </si>
  <si>
    <t xml:space="preserve">Finishes</t>
  </si>
  <si>
    <t xml:space="preserve">Engineered hardwood install — 2nd floor (~600 sf)</t>
  </si>
  <si>
    <t xml:space="preserve">Reno Factory bid (pro-rated)</t>
  </si>
  <si>
    <t xml:space="preserve">Bid was $3,000 for both floors.</t>
  </si>
  <si>
    <t xml:space="preserve">Stair capping — treads, risers, oak caps, posts, rail, pickets</t>
  </si>
  <si>
    <t xml:space="preserve">Stair stain &amp; varnish (one-tone)</t>
  </si>
  <si>
    <t xml:space="preserve">Reno Factory bid</t>
  </si>
  <si>
    <t xml:space="preserve">Aria vents</t>
  </si>
  <si>
    <t xml:space="preserve">Closet install — 2 IKEA PAX (client-supplied)</t>
  </si>
  <si>
    <t xml:space="preserve">Completion</t>
  </si>
  <si>
    <t xml:space="preserve">Final clean, deficiencies, final inspections</t>
  </si>
  <si>
    <t xml:space="preserve">HARD COST TOTAL — 2nd floor &amp; porch</t>
  </si>
  <si>
    <t xml:space="preserve">BEAM &amp; POSTS — ADDED COST (LVL + framing labour already in KOTT and Built By BC bids)</t>
  </si>
  <si>
    <t xml:space="preserve">Beam</t>
  </si>
  <si>
    <t xml:space="preserve">Selective demo of wall section + disposal</t>
  </si>
  <si>
    <t xml:space="preserve">Basement footing pads + posts</t>
  </si>
  <si>
    <t xml:space="preserve">Only if the engineer requires. Set to 0 if not.</t>
  </si>
  <si>
    <t xml:space="preserve">Electrical relocation out of wall</t>
  </si>
  <si>
    <t xml:space="preserve">Drywall close-in &amp; beam wrap, Level 4, primed</t>
  </si>
  <si>
    <t xml:space="preserve">Floor patch at old wall line</t>
  </si>
  <si>
    <t xml:space="preserve">Engineer review</t>
  </si>
  <si>
    <t xml:space="preserve">BEAM &amp; POSTS TOTAL</t>
  </si>
  <si>
    <t xml:space="preserve">TIME-BASED COSTS (from Summary rates × duration)</t>
  </si>
  <si>
    <t xml:space="preserve">Rate / week</t>
  </si>
  <si>
    <t xml:space="preserve">Time-based</t>
  </si>
  <si>
    <t xml:space="preserve">TIME-BASED TOTAL</t>
  </si>
  <si>
    <t xml:space="preserve">ALL-IN PROJECT COST</t>
  </si>
  <si>
    <t xml:space="preserve">EXCLUSIONS (put in writing)</t>
  </si>
  <si>
    <t xml:space="preserve">• Shower glass (~$2,000 cost if added later)</t>
  </si>
  <si>
    <t xml:space="preserve">• All finish materials: flooring, tile, plumbing fixtures, lighting, interior doors, closets, mirror &amp; accessories</t>
  </si>
  <si>
    <t xml:space="preserve">• All main-floor work except the beam &amp; posts (Option B deferred)</t>
  </si>
  <si>
    <t xml:space="preserve">• Permit, city and development fees; Builder's Risk insurance (client)</t>
  </si>
  <si>
    <t xml:space="preserve">• Designated substance survey / asbestos or vermiculite abatement</t>
  </si>
  <si>
    <t xml:space="preserve">• Furnace rebalancing; temporary heat (budget ~$4,000 if job runs into late fall)</t>
  </si>
  <si>
    <t xml:space="preserve">Offers, Bargaining Chips, Upsells &amp; Cost Savings</t>
  </si>
  <si>
    <t xml:space="preserve">Set column G to Y to include an item — Summary rows 38–45 update. Price/cost figures for upsells are estimates; confirm with trades before quoting.</t>
  </si>
  <si>
    <t xml:space="preserve">Airbnb / rental rate ($/month)</t>
  </si>
  <si>
    <t xml:space="preserve">Furnished 3-bed near Cliffcrest/Bluffs: ~$4,000–$5,500/mo (REW, liv.rent, Oct 2026)</t>
  </si>
  <si>
    <t xml:space="preserve">Months of rental covered</t>
  </si>
  <si>
    <t xml:space="preserve">Move-out credit ($/month, capped)</t>
  </si>
  <si>
    <t xml:space="preserve">Price discount (%)</t>
  </si>
  <si>
    <t xml:space="preserve">Type</t>
  </si>
  <si>
    <t xml:space="preserve">Price to client</t>
  </si>
  <si>
    <t xml:space="preserve">Cost to PalmView</t>
  </si>
  <si>
    <t xml:space="preserve">Profit impact</t>
  </si>
  <si>
    <t xml:space="preserve">Margin if only this</t>
  </si>
  <si>
    <t xml:space="preserve">Include? (Y/N)</t>
  </si>
  <si>
    <t xml:space="preserve">Price applied</t>
  </si>
  <si>
    <t xml:space="preserve">Cost applied</t>
  </si>
  <si>
    <t xml:space="preserve">Bargaining chip</t>
  </si>
  <si>
    <t xml:space="preserve">Move-out credit (capped, tied to signing + vacant start)</t>
  </si>
  <si>
    <t xml:space="preserve">Y</t>
  </si>
  <si>
    <t xml:space="preserve">Recommended closer.</t>
  </si>
  <si>
    <t xml:space="preserve">Airbnb / short-term rental covered</t>
  </si>
  <si>
    <t xml:space="preserve">N</t>
  </si>
  <si>
    <t xml:space="preserve">Use only if needed to win against another builder.</t>
  </si>
  <si>
    <t xml:space="preserve">Airbnb for full duration</t>
  </si>
  <si>
    <t xml:space="preserve">Not recommended — exceeds most of the profit.</t>
  </si>
  <si>
    <t xml:space="preserve">Price discount</t>
  </si>
  <si>
    <t xml:space="preserve">Beam &amp; posts at cost</t>
  </si>
  <si>
    <t xml:space="preserve">Gives away beam profit.</t>
  </si>
  <si>
    <t xml:space="preserve">Shower glass included (no charge)</t>
  </si>
  <si>
    <t xml:space="preserve">Currently excluded.</t>
  </si>
  <si>
    <t xml:space="preserve">Lock Option B price if started within 3 months of completion</t>
  </si>
  <si>
    <t xml:space="preserve">No cost now — strong closer.</t>
  </si>
  <si>
    <t xml:space="preserve">Extended labour warranty (2 → 3 years)</t>
  </si>
  <si>
    <t xml:space="preserve">Allowance for callbacks.</t>
  </si>
  <si>
    <t xml:space="preserve">Upsell</t>
  </si>
  <si>
    <t xml:space="preserve">EV charger rough-in (uses new 200A service)</t>
  </si>
  <si>
    <t xml:space="preserve">Estimate.</t>
  </si>
  <si>
    <t xml:space="preserve">Main-floor pot light pre-wire while wall is open (~10)</t>
  </si>
  <si>
    <t xml:space="preserve">Estimate. Saves cost in Option B later.</t>
  </si>
  <si>
    <t xml:space="preserve">Stained cedar porch ceiling (vs. standard T&amp;G)</t>
  </si>
  <si>
    <t xml:space="preserve">Aluminum/steel porch railing (30 LF) vs. PT wood</t>
  </si>
  <si>
    <t xml:space="preserve">Cat6 + security camera pre-wire</t>
  </si>
  <si>
    <t xml:space="preserve">Shower glass — PalmView supply &amp; install</t>
  </si>
  <si>
    <t xml:space="preserve">Cost per Raff $2,000.</t>
  </si>
  <si>
    <t xml:space="preserve">Spray foam at rim joists / band (air-sealing upgrade)</t>
  </si>
  <si>
    <t xml:space="preserve">Cost saving</t>
  </si>
  <si>
    <t xml:space="preserve">CA Roofing $3,800 instead of Infinity roofing $6,175</t>
  </si>
  <si>
    <t xml:space="preserve">Both bids approved — confirm scope.</t>
  </si>
  <si>
    <t xml:space="preserve">CA Roofing aluminum $3,800 instead of Infinity $8,325</t>
  </si>
  <si>
    <t xml:space="preserve">Welda windows $5,221 instead of JS $5,545</t>
  </si>
  <si>
    <t xml:space="preserve">No basement footings needed under beam</t>
  </si>
  <si>
    <t xml:space="preserve">Pending engineer.</t>
  </si>
  <si>
    <t xml:space="preserve">TOTAL OF SELECTED ITEMS</t>
  </si>
  <si>
    <t xml:space="preserve">Adjusted margin (see Summary)</t>
  </si>
  <si>
    <t xml:space="preserve">Schedule &amp; Start Date</t>
  </si>
  <si>
    <t xml:space="preserve">Phase weeks in blue drive the duration, PM, site labour and overhead. Phases shown sequentially; exterior and interior work can overlap to shorten the job.</t>
  </si>
  <si>
    <t xml:space="preserve">Construction phase</t>
  </si>
  <si>
    <t xml:space="preserve">Weeks</t>
  </si>
  <si>
    <t xml:space="preserve">Start</t>
  </si>
  <si>
    <t xml:space="preserve">Finish</t>
  </si>
  <si>
    <t xml:space="preserve">Mobilization; demo roof, 2nd floor, chimney; porch demo</t>
  </si>
  <si>
    <t xml:space="preserve">Clients moved out before this date.</t>
  </si>
  <si>
    <t xml:space="preserve">Porch piers; main-floor shoring, beam &amp; posts; basement point loads</t>
  </si>
  <si>
    <t xml:space="preserve">Engineer review.</t>
  </si>
  <si>
    <t xml:space="preserve">Second-floor framing, roof structure, sheathing &amp; dry-in</t>
  </si>
  <si>
    <t xml:space="preserve">Roofing, windows, house wrap</t>
  </si>
  <si>
    <t xml:space="preserve">Rough-ins: plumbing, HVAC, electrical, 200A service + inspections</t>
  </si>
  <si>
    <t xml:space="preserve">Toronto Hydro disconnect/reconnect.</t>
  </si>
  <si>
    <t xml:space="preserve">Insulation &amp; drywall (Level 4)</t>
  </si>
  <si>
    <t xml:space="preserve">Insulation inspection.</t>
  </si>
  <si>
    <t xml:space="preserve">Bathroom tile, flooring, stairs, trim &amp; paint</t>
  </si>
  <si>
    <t xml:space="preserve">Client finish selections must be on site.</t>
  </si>
  <si>
    <t xml:space="preserve">Siding, Maibec, aluminum, porch finishing</t>
  </si>
  <si>
    <t xml:space="preserve">Can overlap interior phases.</t>
  </si>
  <si>
    <t xml:space="preserve">Final fixtures, deficiencies, final inspections, clean</t>
  </si>
  <si>
    <t xml:space="preserve">TOTAL DURATION (weeks)</t>
  </si>
  <si>
    <t xml:space="preserve">PRE-CONSTRUCTION TARGETS (estimates — confirm with Mark and the City)</t>
  </si>
  <si>
    <t xml:space="preserve">Milestone</t>
  </si>
  <si>
    <t xml:space="preserve">Target date</t>
  </si>
  <si>
    <t xml:space="preserve">Site visit with Julianne &amp; David</t>
  </si>
  <si>
    <t xml:space="preserve">Today 4–5pm.</t>
  </si>
  <si>
    <t xml:space="preserve">Engineer confirms beam/post load path</t>
  </si>
  <si>
    <t xml:space="preserve">Mark revises drawings (2nd floor, porch, beam only)</t>
  </si>
  <si>
    <t xml:space="preserve">Permit submission to City of Toronto</t>
  </si>
  <si>
    <t xml:space="preserve">Revised estimate signed + deposit</t>
  </si>
  <si>
    <t xml:space="preserve">Locks the May start.</t>
  </si>
  <si>
    <t xml:space="preserve">Permit issued (est.)</t>
  </si>
  <si>
    <t xml:space="preserve">Toronto residential additions often take 2–4 months.</t>
  </si>
  <si>
    <t xml:space="preserve">Client finish selections complete</t>
  </si>
  <si>
    <t xml:space="preserve">Clients move out</t>
  </si>
  <si>
    <t xml:space="preserve">Weekend before start.</t>
  </si>
  <si>
    <t xml:space="preserve">Construction start</t>
  </si>
  <si>
    <t xml:space="preserve">Substantial completion</t>
  </si>
  <si>
    <t xml:space="preserve">Duration vs. Margin — what each week costs</t>
  </si>
  <si>
    <t xml:space="preserve">Base case, no offers. Uses Summary rates and costs; FV price varies across columns. Contract price fixed at Summary B22.</t>
  </si>
  <si>
    <t xml:space="preserve">FV price →</t>
  </si>
  <si>
    <t xml:space="preserve">Margin</t>
  </si>
  <si>
    <t xml:space="preserve">Net profit</t>
  </si>
  <si>
    <t xml:space="preserve">Red = under 10% margin · Green = 20%+ margin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</si>
</sst>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mmm\ d&quot;, &quot;yyyy"/>
    <numFmt numFmtId="166" formatCode="0"/>
    <numFmt numFmtId="167" formatCode="0.0"/>
    <numFmt numFmtId="168" formatCode="\$#,##0;&quot;($&quot;#,##0\);\-"/>
    <numFmt numFmtId="169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37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4F7"/>
        <bgColor rgb="FFFFFFFF"/>
      </patternFill>
    </fill>
    <fill>
      <patternFill patternType="solid">
        <fgColor rgb="FF1F2A37"/>
        <bgColor rgb="FF333300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1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21.75" hidden="false" customHeight="true" outlineLevel="0" collapsed="false">
      <c r="A5" s="5" t="s">
        <v>3</v>
      </c>
      <c r="B5" s="6" t="s">
        <v>4</v>
      </c>
      <c r="C5" s="6"/>
      <c r="D5" s="6" t="s">
        <v>5</v>
      </c>
    </row>
    <row r="6" customFormat="false" ht="15" hidden="false" customHeight="false" outlineLevel="0" collapsed="false">
      <c r="A6" s="7" t="s">
        <v>6</v>
      </c>
      <c r="B6" s="8" t="n">
        <v>46524</v>
      </c>
      <c r="D6" s="2" t="s">
        <v>7</v>
      </c>
    </row>
    <row r="7" customFormat="false" ht="15" hidden="false" customHeight="false" outlineLevel="0" collapsed="false">
      <c r="A7" s="7" t="s">
        <v>8</v>
      </c>
      <c r="B7" s="9" t="n">
        <f aca="false">Schedule!C16</f>
        <v>24</v>
      </c>
      <c r="D7" s="2" t="s">
        <v>9</v>
      </c>
    </row>
    <row r="8" customFormat="false" ht="15" hidden="false" customHeight="false" outlineLevel="0" collapsed="false">
      <c r="A8" s="7" t="s">
        <v>10</v>
      </c>
      <c r="B8" s="10" t="n">
        <f aca="false">B6+B7*7-3</f>
        <v>46689</v>
      </c>
      <c r="D8" s="2" t="s">
        <v>11</v>
      </c>
    </row>
    <row r="9" customFormat="false" ht="15" hidden="false" customHeight="false" outlineLevel="0" collapsed="false">
      <c r="A9" s="7" t="s">
        <v>12</v>
      </c>
      <c r="B9" s="11" t="n">
        <f aca="false">B7/4.33</f>
        <v>5.54272517321016</v>
      </c>
      <c r="D9" s="2"/>
    </row>
    <row r="10" customFormat="false" ht="15" hidden="false" customHeight="false" outlineLevel="0" collapsed="false">
      <c r="A10" s="7" t="s">
        <v>13</v>
      </c>
      <c r="B10" s="12" t="n">
        <v>271379.75</v>
      </c>
      <c r="D10" s="2" t="s">
        <v>14</v>
      </c>
    </row>
    <row r="11" customFormat="false" ht="15" hidden="false" customHeight="false" outlineLevel="0" collapsed="false">
      <c r="A11" s="7" t="s">
        <v>15</v>
      </c>
      <c r="B11" s="12" t="n">
        <v>16500</v>
      </c>
      <c r="D11" s="2" t="s">
        <v>16</v>
      </c>
    </row>
    <row r="12" customFormat="false" ht="15" hidden="false" customHeight="false" outlineLevel="0" collapsed="false">
      <c r="A12" s="7" t="s">
        <v>17</v>
      </c>
      <c r="B12" s="13" t="n">
        <v>0.13</v>
      </c>
      <c r="D12" s="2" t="s">
        <v>18</v>
      </c>
    </row>
    <row r="13" customFormat="false" ht="15" hidden="false" customHeight="false" outlineLevel="0" collapsed="false">
      <c r="A13" s="7" t="s">
        <v>19</v>
      </c>
      <c r="B13" s="12" t="n">
        <v>37500</v>
      </c>
      <c r="D13" s="2" t="s">
        <v>20</v>
      </c>
    </row>
    <row r="14" customFormat="false" ht="15" hidden="false" customHeight="false" outlineLevel="0" collapsed="false">
      <c r="A14" s="7" t="s">
        <v>21</v>
      </c>
      <c r="B14" s="12" t="n">
        <v>1700</v>
      </c>
      <c r="D14" s="2" t="s">
        <v>22</v>
      </c>
    </row>
    <row r="15" customFormat="false" ht="15" hidden="false" customHeight="false" outlineLevel="0" collapsed="false">
      <c r="A15" s="7" t="s">
        <v>23</v>
      </c>
      <c r="B15" s="12" t="n">
        <v>600</v>
      </c>
      <c r="D15" s="2" t="s">
        <v>22</v>
      </c>
    </row>
    <row r="16" customFormat="false" ht="15" hidden="false" customHeight="false" outlineLevel="0" collapsed="false">
      <c r="A16" s="7" t="s">
        <v>24</v>
      </c>
      <c r="B16" s="12" t="n">
        <v>1000</v>
      </c>
      <c r="D16" s="2" t="s">
        <v>25</v>
      </c>
    </row>
    <row r="18" customFormat="false" ht="15" hidden="false" customHeight="false" outlineLevel="0" collapsed="false">
      <c r="A18" s="3" t="s">
        <v>26</v>
      </c>
      <c r="B18" s="4"/>
      <c r="C18" s="4"/>
      <c r="D18" s="4"/>
    </row>
    <row r="19" customFormat="false" ht="21.75" hidden="false" customHeight="true" outlineLevel="0" collapsed="false">
      <c r="A19" s="5" t="s">
        <v>27</v>
      </c>
      <c r="B19" s="6" t="s">
        <v>28</v>
      </c>
      <c r="C19" s="6" t="s">
        <v>29</v>
      </c>
      <c r="D19" s="6" t="s">
        <v>30</v>
      </c>
    </row>
    <row r="20" customFormat="false" ht="15" hidden="false" customHeight="false" outlineLevel="0" collapsed="false">
      <c r="A20" s="7" t="s">
        <v>31</v>
      </c>
      <c r="B20" s="14" t="n">
        <f aca="false">B10</f>
        <v>271379.75</v>
      </c>
      <c r="C20" s="15" t="n">
        <f aca="false">IF($B$22=0,0,B20/$B$22)</f>
        <v>0.942684402081077</v>
      </c>
      <c r="D20" s="2" t="s">
        <v>32</v>
      </c>
    </row>
    <row r="21" customFormat="false" ht="15" hidden="false" customHeight="false" outlineLevel="0" collapsed="false">
      <c r="A21" s="7" t="s">
        <v>33</v>
      </c>
      <c r="B21" s="14" t="n">
        <f aca="false">B11</f>
        <v>16500</v>
      </c>
      <c r="C21" s="15" t="n">
        <f aca="false">IF($B$22=0,0,B21/$B$22)</f>
        <v>0.0573155979189227</v>
      </c>
      <c r="D21" s="2" t="s">
        <v>3</v>
      </c>
    </row>
    <row r="22" customFormat="false" ht="15" hidden="false" customHeight="false" outlineLevel="0" collapsed="false">
      <c r="A22" s="16" t="s">
        <v>34</v>
      </c>
      <c r="B22" s="17" t="n">
        <f aca="false">B20+B21</f>
        <v>287879.75</v>
      </c>
      <c r="C22" s="18" t="n">
        <f aca="false">IF($B$22=0,0,B22/$B$22)</f>
        <v>1</v>
      </c>
      <c r="D22" s="2"/>
    </row>
    <row r="23" customFormat="false" ht="15" hidden="false" customHeight="false" outlineLevel="0" collapsed="false">
      <c r="A23" s="7" t="s">
        <v>35</v>
      </c>
      <c r="B23" s="14" t="n">
        <f aca="false">B22*B12</f>
        <v>37424.3675</v>
      </c>
      <c r="C23" s="15" t="n">
        <f aca="false">IF($B$22=0,0,B23/$B$22)</f>
        <v>0.13</v>
      </c>
      <c r="D23" s="2"/>
    </row>
    <row r="24" customFormat="false" ht="15" hidden="false" customHeight="false" outlineLevel="0" collapsed="false">
      <c r="A24" s="16" t="s">
        <v>36</v>
      </c>
      <c r="B24" s="17" t="n">
        <f aca="false">B22+B23</f>
        <v>325304.1175</v>
      </c>
      <c r="C24" s="18" t="n">
        <f aca="false">IF($B$22=0,0,B24/$B$22)</f>
        <v>1.13</v>
      </c>
      <c r="D24" s="2"/>
    </row>
    <row r="25" customFormat="false" ht="15" hidden="false" customHeight="false" outlineLevel="0" collapsed="false">
      <c r="A25" s="7" t="s">
        <v>37</v>
      </c>
      <c r="B25" s="19" t="n">
        <f aca="false">Costs!E36</f>
        <v>184501</v>
      </c>
      <c r="C25" s="15" t="n">
        <f aca="false">IF($B$22=0,0,B25/$B$22)</f>
        <v>0.640896068584192</v>
      </c>
      <c r="D25" s="2" t="s">
        <v>38</v>
      </c>
    </row>
    <row r="26" customFormat="false" ht="15" hidden="false" customHeight="false" outlineLevel="0" collapsed="false">
      <c r="A26" s="7" t="s">
        <v>39</v>
      </c>
      <c r="B26" s="19" t="n">
        <f aca="false">Costs!E46</f>
        <v>8200</v>
      </c>
      <c r="C26" s="15" t="n">
        <f aca="false">IF($B$22=0,0,B26/$B$22)</f>
        <v>0.028484115329404</v>
      </c>
      <c r="D26" s="2" t="s">
        <v>38</v>
      </c>
    </row>
    <row r="27" customFormat="false" ht="15" hidden="false" customHeight="false" outlineLevel="0" collapsed="false">
      <c r="A27" s="7" t="s">
        <v>40</v>
      </c>
      <c r="B27" s="14" t="n">
        <f aca="false">B14*B7</f>
        <v>40800</v>
      </c>
      <c r="C27" s="15" t="n">
        <f aca="false">IF($B$22=0,0,B27/$B$22)</f>
        <v>0.141725842126791</v>
      </c>
      <c r="D27" s="2" t="s">
        <v>41</v>
      </c>
    </row>
    <row r="28" customFormat="false" ht="15" hidden="false" customHeight="false" outlineLevel="0" collapsed="false">
      <c r="A28" s="7" t="s">
        <v>42</v>
      </c>
      <c r="B28" s="14" t="n">
        <f aca="false">B15*B7</f>
        <v>14400</v>
      </c>
      <c r="C28" s="15" t="n">
        <f aca="false">IF($B$22=0,0,B28/$B$22)</f>
        <v>0.0500208854565144</v>
      </c>
      <c r="D28" s="2" t="s">
        <v>41</v>
      </c>
    </row>
    <row r="29" customFormat="false" ht="15" hidden="false" customHeight="false" outlineLevel="0" collapsed="false">
      <c r="A29" s="7" t="s">
        <v>43</v>
      </c>
      <c r="B29" s="14" t="n">
        <f aca="false">B16*B7</f>
        <v>24000</v>
      </c>
      <c r="C29" s="15" t="n">
        <f aca="false">IF($B$22=0,0,B29/$B$22)</f>
        <v>0.083368142427524</v>
      </c>
      <c r="D29" s="2" t="s">
        <v>41</v>
      </c>
    </row>
    <row r="30" customFormat="false" ht="15" hidden="false" customHeight="false" outlineLevel="0" collapsed="false">
      <c r="A30" s="16" t="s">
        <v>44</v>
      </c>
      <c r="B30" s="17" t="n">
        <f aca="false">SUM(B25:B29)</f>
        <v>271901</v>
      </c>
      <c r="C30" s="18" t="n">
        <f aca="false">IF($B$22=0,0,B30/$B$22)</f>
        <v>0.944495053924425</v>
      </c>
      <c r="D30" s="2"/>
    </row>
    <row r="31" customFormat="false" ht="15" hidden="false" customHeight="false" outlineLevel="0" collapsed="false">
      <c r="A31" s="16" t="s">
        <v>45</v>
      </c>
      <c r="B31" s="17" t="n">
        <f aca="false">B22-B30</f>
        <v>15978.75</v>
      </c>
      <c r="C31" s="18" t="n">
        <f aca="false">IF($B$22=0,0,B31/$B$22)</f>
        <v>0.055504946075575</v>
      </c>
      <c r="D31" s="2"/>
    </row>
    <row r="32" customFormat="false" ht="15" hidden="false" customHeight="false" outlineLevel="0" collapsed="false">
      <c r="A32" s="16" t="s">
        <v>46</v>
      </c>
      <c r="B32" s="20" t="n">
        <f aca="false">IF(B22=0,0,B31/B22)</f>
        <v>0.055504946075575</v>
      </c>
      <c r="C32" s="21"/>
      <c r="D32" s="2"/>
    </row>
    <row r="33" customFormat="false" ht="15" hidden="false" customHeight="false" outlineLevel="0" collapsed="false">
      <c r="A33" s="7" t="s">
        <v>47</v>
      </c>
      <c r="B33" s="15" t="n">
        <f aca="false">IF(B30=0,0,B31/B30)</f>
        <v>0.0587667937962714</v>
      </c>
      <c r="C33" s="7"/>
      <c r="D33" s="2"/>
    </row>
    <row r="34" customFormat="false" ht="15" hidden="false" customHeight="false" outlineLevel="0" collapsed="false">
      <c r="A34" s="7" t="s">
        <v>48</v>
      </c>
      <c r="B34" s="14" t="n">
        <f aca="false">B14+B15+B16</f>
        <v>3300</v>
      </c>
      <c r="C34" s="7"/>
      <c r="D34" s="2" t="s">
        <v>49</v>
      </c>
    </row>
    <row r="36" customFormat="false" ht="15" hidden="false" customHeight="false" outlineLevel="0" collapsed="false">
      <c r="A36" s="3" t="s">
        <v>50</v>
      </c>
      <c r="B36" s="4"/>
      <c r="C36" s="4"/>
      <c r="D36" s="4"/>
    </row>
    <row r="37" customFormat="false" ht="21.75" hidden="false" customHeight="true" outlineLevel="0" collapsed="false">
      <c r="A37" s="5" t="s">
        <v>27</v>
      </c>
      <c r="B37" s="6" t="s">
        <v>28</v>
      </c>
      <c r="C37" s="6" t="s">
        <v>29</v>
      </c>
      <c r="D37" s="6" t="s">
        <v>51</v>
      </c>
    </row>
    <row r="38" customFormat="false" ht="15" hidden="false" customHeight="false" outlineLevel="0" collapsed="false">
      <c r="A38" s="7" t="s">
        <v>52</v>
      </c>
      <c r="B38" s="19" t="n">
        <f aca="false">Offers!H29</f>
        <v>0</v>
      </c>
      <c r="C38" s="15" t="n">
        <f aca="false">IF($B$40=0,0,B38/$B$40)</f>
        <v>0</v>
      </c>
    </row>
    <row r="39" customFormat="false" ht="15" hidden="false" customHeight="false" outlineLevel="0" collapsed="false">
      <c r="A39" s="7" t="s">
        <v>53</v>
      </c>
      <c r="B39" s="19" t="n">
        <f aca="false">Offers!I29</f>
        <v>7500</v>
      </c>
      <c r="C39" s="15" t="n">
        <f aca="false">IF($B$40=0,0,B39/$B$40)</f>
        <v>0.0260525445086013</v>
      </c>
    </row>
    <row r="40" customFormat="false" ht="15" hidden="false" customHeight="false" outlineLevel="0" collapsed="false">
      <c r="A40" s="16" t="s">
        <v>54</v>
      </c>
      <c r="B40" s="17" t="n">
        <f aca="false">B22+B38</f>
        <v>287879.75</v>
      </c>
      <c r="C40" s="18" t="n">
        <f aca="false">IF($B$40=0,0,B40/$B$40)</f>
        <v>1</v>
      </c>
    </row>
    <row r="41" customFormat="false" ht="15" hidden="false" customHeight="false" outlineLevel="0" collapsed="false">
      <c r="A41" s="16" t="s">
        <v>55</v>
      </c>
      <c r="B41" s="17" t="n">
        <f aca="false">B30+B39</f>
        <v>279401</v>
      </c>
      <c r="C41" s="18" t="n">
        <f aca="false">IF($B$40=0,0,B41/$B$40)</f>
        <v>0.970547598433026</v>
      </c>
    </row>
    <row r="42" customFormat="false" ht="15" hidden="false" customHeight="false" outlineLevel="0" collapsed="false">
      <c r="A42" s="16" t="s">
        <v>56</v>
      </c>
      <c r="B42" s="17" t="n">
        <f aca="false">B40-B41</f>
        <v>8478.75</v>
      </c>
      <c r="C42" s="18" t="n">
        <f aca="false">IF($B$40=0,0,B42/$B$40)</f>
        <v>0.0294524015669737</v>
      </c>
    </row>
    <row r="43" customFormat="false" ht="15" hidden="false" customHeight="false" outlineLevel="0" collapsed="false">
      <c r="A43" s="16" t="s">
        <v>57</v>
      </c>
      <c r="B43" s="20" t="n">
        <f aca="false">IF(B40=0,0,B42/B40)</f>
        <v>0.0294524015669737</v>
      </c>
      <c r="C43" s="22"/>
    </row>
    <row r="44" customFormat="false" ht="15" hidden="false" customHeight="false" outlineLevel="0" collapsed="false">
      <c r="A44" s="7" t="s">
        <v>58</v>
      </c>
      <c r="B44" s="15" t="n">
        <f aca="false">IF(B41=0,0,B42/B41)</f>
        <v>0.0303461691260948</v>
      </c>
      <c r="C44" s="23"/>
    </row>
    <row r="45" customFormat="false" ht="15" hidden="false" customHeight="false" outlineLevel="0" collapsed="false">
      <c r="A45" s="7" t="s">
        <v>59</v>
      </c>
      <c r="B45" s="14" t="n">
        <f aca="false">B42-B31</f>
        <v>-7500</v>
      </c>
      <c r="C45" s="15" t="n">
        <f aca="false">IF($B$40=0,0,B45/$B$40)</f>
        <v>-0.0260525445086013</v>
      </c>
    </row>
    <row r="47" customFormat="false" ht="15" hidden="false" customHeight="false" outlineLevel="0" collapsed="false">
      <c r="A47" s="3" t="s">
        <v>60</v>
      </c>
      <c r="B47" s="4"/>
      <c r="C47" s="4"/>
      <c r="D47" s="4"/>
    </row>
    <row r="48" customFormat="false" ht="21.75" hidden="false" customHeight="true" outlineLevel="0" collapsed="false">
      <c r="A48" s="5" t="s">
        <v>61</v>
      </c>
      <c r="B48" s="6" t="s">
        <v>62</v>
      </c>
      <c r="C48" s="6" t="s">
        <v>63</v>
      </c>
      <c r="D48" s="6" t="s">
        <v>51</v>
      </c>
    </row>
    <row r="49" customFormat="false" ht="15" hidden="false" customHeight="false" outlineLevel="0" collapsed="false">
      <c r="A49" s="24" t="n">
        <v>0.15</v>
      </c>
      <c r="B49" s="14" t="n">
        <f aca="false">B$30/(1-A49)</f>
        <v>319883.529411765</v>
      </c>
      <c r="C49" s="14" t="n">
        <f aca="false">B49-B$22</f>
        <v>32003.7794117647</v>
      </c>
      <c r="D49" s="2" t="s">
        <v>64</v>
      </c>
    </row>
    <row r="50" customFormat="false" ht="15" hidden="false" customHeight="false" outlineLevel="0" collapsed="false">
      <c r="A50" s="24" t="n">
        <v>0.2</v>
      </c>
      <c r="B50" s="14" t="n">
        <f aca="false">B$30/(1-A50)</f>
        <v>339876.25</v>
      </c>
      <c r="C50" s="14" t="n">
        <f aca="false">B50-B$22</f>
        <v>51996.5</v>
      </c>
    </row>
    <row r="51" customFormat="false" ht="15" hidden="false" customHeight="false" outlineLevel="0" collapsed="false">
      <c r="A51" s="24" t="n">
        <v>0.25</v>
      </c>
      <c r="B51" s="14" t="n">
        <f aca="false">B$30/(1-A51)</f>
        <v>362534.666666667</v>
      </c>
      <c r="C51" s="14" t="n">
        <f aca="false">B51-B$22</f>
        <v>74654.9166666667</v>
      </c>
    </row>
  </sheetData>
  <conditionalFormatting sqref="B32">
    <cfRule type="cellIs" priority="2" operator="lessThan" aboveAverage="0" equalAverage="0" bottom="0" percent="0" rank="0" text="" dxfId="0">
      <formula>0.15</formula>
    </cfRule>
    <cfRule type="cellIs" priority="3" operator="greaterThanOrEqual" aboveAverage="0" equalAverage="0" bottom="0" percent="0" rank="0" text="" dxfId="1">
      <formula>0.2</formula>
    </cfRule>
  </conditionalFormatting>
  <conditionalFormatting sqref="B43">
    <cfRule type="cellIs" priority="4" operator="lessThan" aboveAverage="0" equalAverage="0" bottom="0" percent="0" rank="0" text="" dxfId="0">
      <formula>0.15</formula>
    </cfRule>
    <cfRule type="cellIs" priority="5" operator="greaterThanOrEqual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21.75" hidden="false" customHeight="true" outlineLevel="0" collapsed="false">
      <c r="A4" s="5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</row>
    <row r="5" customFormat="false" ht="15" hidden="false" customHeight="false" outlineLevel="0" collapsed="false">
      <c r="A5" s="25" t="n">
        <v>1</v>
      </c>
      <c r="B5" s="7" t="s">
        <v>73</v>
      </c>
      <c r="C5" s="7" t="s">
        <v>74</v>
      </c>
      <c r="D5" s="7" t="s">
        <v>75</v>
      </c>
      <c r="E5" s="26" t="n">
        <v>3000</v>
      </c>
      <c r="F5" s="27"/>
    </row>
    <row r="6" customFormat="false" ht="15" hidden="false" customHeight="false" outlineLevel="0" collapsed="false">
      <c r="A6" s="25" t="n">
        <v>2</v>
      </c>
      <c r="B6" s="7" t="s">
        <v>73</v>
      </c>
      <c r="C6" s="7" t="s">
        <v>76</v>
      </c>
      <c r="D6" s="7" t="s">
        <v>75</v>
      </c>
      <c r="E6" s="26" t="n">
        <v>3500</v>
      </c>
      <c r="F6" s="27"/>
    </row>
    <row r="7" customFormat="false" ht="15" hidden="false" customHeight="false" outlineLevel="0" collapsed="false">
      <c r="A7" s="25" t="n">
        <v>3</v>
      </c>
      <c r="B7" s="7" t="s">
        <v>73</v>
      </c>
      <c r="C7" s="7" t="s">
        <v>77</v>
      </c>
      <c r="D7" s="7" t="s">
        <v>75</v>
      </c>
      <c r="E7" s="26" t="n">
        <v>2000</v>
      </c>
      <c r="F7" s="27" t="s">
        <v>78</v>
      </c>
    </row>
    <row r="8" customFormat="false" ht="15" hidden="false" customHeight="false" outlineLevel="0" collapsed="false">
      <c r="A8" s="25" t="n">
        <v>4</v>
      </c>
      <c r="B8" s="7" t="s">
        <v>73</v>
      </c>
      <c r="C8" s="7" t="s">
        <v>79</v>
      </c>
      <c r="D8" s="7" t="s">
        <v>75</v>
      </c>
      <c r="E8" s="26" t="n">
        <v>2500</v>
      </c>
      <c r="F8" s="27"/>
    </row>
    <row r="9" customFormat="false" ht="15" hidden="false" customHeight="false" outlineLevel="0" collapsed="false">
      <c r="A9" s="25" t="n">
        <v>5</v>
      </c>
      <c r="B9" s="7" t="s">
        <v>73</v>
      </c>
      <c r="C9" s="7" t="s">
        <v>80</v>
      </c>
      <c r="D9" s="7" t="s">
        <v>81</v>
      </c>
      <c r="E9" s="26" t="n">
        <v>2500</v>
      </c>
      <c r="F9" s="27" t="s">
        <v>82</v>
      </c>
    </row>
    <row r="10" customFormat="false" ht="15" hidden="false" customHeight="false" outlineLevel="0" collapsed="false">
      <c r="A10" s="25" t="n">
        <v>6</v>
      </c>
      <c r="B10" s="7" t="s">
        <v>73</v>
      </c>
      <c r="C10" s="7" t="s">
        <v>83</v>
      </c>
      <c r="D10" s="7" t="s">
        <v>81</v>
      </c>
      <c r="E10" s="26" t="n">
        <v>1500</v>
      </c>
      <c r="F10" s="27" t="s">
        <v>84</v>
      </c>
    </row>
    <row r="11" customFormat="false" ht="15" hidden="false" customHeight="false" outlineLevel="0" collapsed="false">
      <c r="A11" s="25" t="n">
        <v>7</v>
      </c>
      <c r="B11" s="7" t="s">
        <v>73</v>
      </c>
      <c r="C11" s="7" t="s">
        <v>85</v>
      </c>
      <c r="D11" s="7" t="s">
        <v>81</v>
      </c>
      <c r="E11" s="26" t="n">
        <v>1500</v>
      </c>
      <c r="F11" s="27" t="s">
        <v>86</v>
      </c>
    </row>
    <row r="12" customFormat="false" ht="15" hidden="false" customHeight="false" outlineLevel="0" collapsed="false">
      <c r="A12" s="25" t="n">
        <v>8</v>
      </c>
      <c r="B12" s="7" t="s">
        <v>87</v>
      </c>
      <c r="C12" s="7" t="s">
        <v>88</v>
      </c>
      <c r="D12" s="7" t="s">
        <v>89</v>
      </c>
      <c r="E12" s="26" t="n">
        <v>2000</v>
      </c>
      <c r="F12" s="27" t="s">
        <v>90</v>
      </c>
    </row>
    <row r="13" customFormat="false" ht="15" hidden="false" customHeight="false" outlineLevel="0" collapsed="false">
      <c r="A13" s="25" t="n">
        <v>9</v>
      </c>
      <c r="B13" s="7" t="s">
        <v>87</v>
      </c>
      <c r="C13" s="7" t="s">
        <v>91</v>
      </c>
      <c r="D13" s="7" t="s">
        <v>81</v>
      </c>
      <c r="E13" s="26" t="n">
        <v>3500</v>
      </c>
      <c r="F13" s="27" t="s">
        <v>92</v>
      </c>
    </row>
    <row r="14" customFormat="false" ht="15" hidden="false" customHeight="false" outlineLevel="0" collapsed="false">
      <c r="A14" s="25" t="n">
        <v>10</v>
      </c>
      <c r="B14" s="7" t="s">
        <v>87</v>
      </c>
      <c r="C14" s="7" t="s">
        <v>93</v>
      </c>
      <c r="D14" s="7" t="s">
        <v>81</v>
      </c>
      <c r="E14" s="26" t="n">
        <v>1200</v>
      </c>
      <c r="F14" s="27"/>
    </row>
    <row r="15" customFormat="false" ht="15" hidden="false" customHeight="false" outlineLevel="0" collapsed="false">
      <c r="A15" s="25" t="n">
        <v>11</v>
      </c>
      <c r="B15" s="7" t="s">
        <v>94</v>
      </c>
      <c r="C15" s="7" t="s">
        <v>95</v>
      </c>
      <c r="D15" s="7" t="s">
        <v>96</v>
      </c>
      <c r="E15" s="26" t="n">
        <v>10849</v>
      </c>
      <c r="F15" s="27" t="s">
        <v>97</v>
      </c>
    </row>
    <row r="16" customFormat="false" ht="15" hidden="false" customHeight="false" outlineLevel="0" collapsed="false">
      <c r="A16" s="25" t="n">
        <v>12</v>
      </c>
      <c r="B16" s="7" t="s">
        <v>94</v>
      </c>
      <c r="C16" s="7" t="s">
        <v>98</v>
      </c>
      <c r="D16" s="7" t="s">
        <v>99</v>
      </c>
      <c r="E16" s="26" t="n">
        <v>18500</v>
      </c>
      <c r="F16" s="27" t="s">
        <v>100</v>
      </c>
    </row>
    <row r="17" customFormat="false" ht="15" hidden="false" customHeight="false" outlineLevel="0" collapsed="false">
      <c r="A17" s="25" t="n">
        <v>13</v>
      </c>
      <c r="B17" s="7" t="s">
        <v>101</v>
      </c>
      <c r="C17" s="7" t="s">
        <v>102</v>
      </c>
      <c r="D17" s="7" t="s">
        <v>103</v>
      </c>
      <c r="E17" s="26" t="n">
        <v>6175</v>
      </c>
      <c r="F17" s="27" t="s">
        <v>104</v>
      </c>
    </row>
    <row r="18" customFormat="false" ht="15" hidden="false" customHeight="false" outlineLevel="0" collapsed="false">
      <c r="A18" s="25" t="n">
        <v>14</v>
      </c>
      <c r="B18" s="7" t="s">
        <v>101</v>
      </c>
      <c r="C18" s="7" t="s">
        <v>105</v>
      </c>
      <c r="D18" s="7" t="s">
        <v>103</v>
      </c>
      <c r="E18" s="26" t="n">
        <v>8325</v>
      </c>
      <c r="F18" s="27" t="s">
        <v>104</v>
      </c>
    </row>
    <row r="19" customFormat="false" ht="15" hidden="false" customHeight="false" outlineLevel="0" collapsed="false">
      <c r="A19" s="25" t="n">
        <v>15</v>
      </c>
      <c r="B19" s="7" t="s">
        <v>101</v>
      </c>
      <c r="C19" s="7" t="s">
        <v>106</v>
      </c>
      <c r="D19" s="7" t="s">
        <v>103</v>
      </c>
      <c r="E19" s="26" t="n">
        <v>36000</v>
      </c>
      <c r="F19" s="27"/>
    </row>
    <row r="20" customFormat="false" ht="15" hidden="false" customHeight="false" outlineLevel="0" collapsed="false">
      <c r="A20" s="25" t="n">
        <v>16</v>
      </c>
      <c r="B20" s="7" t="s">
        <v>101</v>
      </c>
      <c r="C20" s="7" t="s">
        <v>107</v>
      </c>
      <c r="D20" s="7" t="s">
        <v>108</v>
      </c>
      <c r="E20" s="26" t="n">
        <v>5545</v>
      </c>
      <c r="F20" s="27" t="s">
        <v>109</v>
      </c>
    </row>
    <row r="21" customFormat="false" ht="15" hidden="false" customHeight="false" outlineLevel="0" collapsed="false">
      <c r="A21" s="25" t="n">
        <v>17</v>
      </c>
      <c r="B21" s="7" t="s">
        <v>110</v>
      </c>
      <c r="C21" s="7" t="s">
        <v>111</v>
      </c>
      <c r="D21" s="7" t="s">
        <v>112</v>
      </c>
      <c r="E21" s="26" t="n">
        <v>8400</v>
      </c>
      <c r="F21" s="27" t="s">
        <v>113</v>
      </c>
    </row>
    <row r="22" customFormat="false" ht="15" hidden="false" customHeight="false" outlineLevel="0" collapsed="false">
      <c r="A22" s="25" t="n">
        <v>18</v>
      </c>
      <c r="B22" s="7" t="s">
        <v>110</v>
      </c>
      <c r="C22" s="7" t="s">
        <v>114</v>
      </c>
      <c r="D22" s="7" t="s">
        <v>81</v>
      </c>
      <c r="E22" s="26" t="n">
        <v>2000</v>
      </c>
      <c r="F22" s="27" t="s">
        <v>115</v>
      </c>
    </row>
    <row r="23" customFormat="false" ht="15" hidden="false" customHeight="false" outlineLevel="0" collapsed="false">
      <c r="A23" s="25" t="n">
        <v>19</v>
      </c>
      <c r="B23" s="7" t="s">
        <v>116</v>
      </c>
      <c r="C23" s="7" t="s">
        <v>117</v>
      </c>
      <c r="D23" s="7" t="s">
        <v>118</v>
      </c>
      <c r="E23" s="26" t="n">
        <v>4500</v>
      </c>
      <c r="F23" s="27"/>
    </row>
    <row r="24" customFormat="false" ht="15" hidden="false" customHeight="false" outlineLevel="0" collapsed="false">
      <c r="A24" s="25" t="n">
        <v>20</v>
      </c>
      <c r="B24" s="7" t="s">
        <v>119</v>
      </c>
      <c r="C24" s="7" t="s">
        <v>120</v>
      </c>
      <c r="D24" s="7" t="s">
        <v>121</v>
      </c>
      <c r="E24" s="19" t="n">
        <f aca="false">Summary!B13</f>
        <v>37500</v>
      </c>
      <c r="F24" s="27" t="s">
        <v>122</v>
      </c>
    </row>
    <row r="25" customFormat="false" ht="15" hidden="false" customHeight="false" outlineLevel="0" collapsed="false">
      <c r="A25" s="25" t="n">
        <v>21</v>
      </c>
      <c r="B25" s="7" t="s">
        <v>123</v>
      </c>
      <c r="C25" s="7" t="s">
        <v>124</v>
      </c>
      <c r="D25" s="7" t="s">
        <v>125</v>
      </c>
      <c r="E25" s="26" t="n">
        <v>2337</v>
      </c>
      <c r="F25" s="27"/>
    </row>
    <row r="26" customFormat="false" ht="15" hidden="false" customHeight="false" outlineLevel="0" collapsed="false">
      <c r="A26" s="25" t="n">
        <v>22</v>
      </c>
      <c r="B26" s="7" t="s">
        <v>126</v>
      </c>
      <c r="C26" s="7" t="s">
        <v>127</v>
      </c>
      <c r="D26" s="7" t="s">
        <v>81</v>
      </c>
      <c r="E26" s="26" t="n">
        <v>1200</v>
      </c>
      <c r="F26" s="27" t="s">
        <v>128</v>
      </c>
    </row>
    <row r="27" customFormat="false" ht="15" hidden="false" customHeight="false" outlineLevel="0" collapsed="false">
      <c r="A27" s="25" t="n">
        <v>23</v>
      </c>
      <c r="B27" s="7" t="s">
        <v>126</v>
      </c>
      <c r="C27" s="7" t="s">
        <v>129</v>
      </c>
      <c r="D27" s="7" t="s">
        <v>81</v>
      </c>
      <c r="E27" s="26" t="n">
        <v>400</v>
      </c>
      <c r="F27" s="27"/>
    </row>
    <row r="28" customFormat="false" ht="15" hidden="false" customHeight="false" outlineLevel="0" collapsed="false">
      <c r="A28" s="25" t="n">
        <v>24</v>
      </c>
      <c r="B28" s="7" t="s">
        <v>130</v>
      </c>
      <c r="C28" s="7" t="s">
        <v>131</v>
      </c>
      <c r="D28" s="7" t="s">
        <v>132</v>
      </c>
      <c r="E28" s="26" t="n">
        <v>2250</v>
      </c>
      <c r="F28" s="27" t="s">
        <v>133</v>
      </c>
    </row>
    <row r="29" customFormat="false" ht="15" hidden="false" customHeight="false" outlineLevel="0" collapsed="false">
      <c r="A29" s="25" t="n">
        <v>25</v>
      </c>
      <c r="B29" s="7" t="s">
        <v>130</v>
      </c>
      <c r="C29" s="7" t="s">
        <v>134</v>
      </c>
      <c r="D29" s="7" t="s">
        <v>89</v>
      </c>
      <c r="E29" s="26" t="n">
        <v>5000</v>
      </c>
      <c r="F29" s="27"/>
    </row>
    <row r="30" customFormat="false" ht="15" hidden="false" customHeight="false" outlineLevel="0" collapsed="false">
      <c r="A30" s="25" t="n">
        <v>26</v>
      </c>
      <c r="B30" s="7" t="s">
        <v>130</v>
      </c>
      <c r="C30" s="7" t="s">
        <v>135</v>
      </c>
      <c r="D30" s="7" t="s">
        <v>136</v>
      </c>
      <c r="E30" s="26" t="n">
        <v>6370</v>
      </c>
      <c r="F30" s="27"/>
    </row>
    <row r="31" customFormat="false" ht="15" hidden="false" customHeight="false" outlineLevel="0" collapsed="false">
      <c r="A31" s="25" t="n">
        <v>27</v>
      </c>
      <c r="B31" s="7" t="s">
        <v>130</v>
      </c>
      <c r="C31" s="7" t="s">
        <v>137</v>
      </c>
      <c r="D31" s="7" t="s">
        <v>75</v>
      </c>
      <c r="E31" s="26" t="n">
        <v>650</v>
      </c>
      <c r="F31" s="27"/>
    </row>
    <row r="32" customFormat="false" ht="15" hidden="false" customHeight="false" outlineLevel="0" collapsed="false">
      <c r="A32" s="25" t="n">
        <v>28</v>
      </c>
      <c r="B32" s="7" t="s">
        <v>130</v>
      </c>
      <c r="C32" s="7" t="s">
        <v>138</v>
      </c>
      <c r="D32" s="7" t="s">
        <v>81</v>
      </c>
      <c r="E32" s="26" t="n">
        <v>800</v>
      </c>
      <c r="F32" s="27"/>
    </row>
    <row r="33" customFormat="false" ht="15" hidden="false" customHeight="false" outlineLevel="0" collapsed="false">
      <c r="A33" s="25" t="n">
        <v>29</v>
      </c>
      <c r="B33" s="7" t="s">
        <v>139</v>
      </c>
      <c r="C33" s="7" t="s">
        <v>140</v>
      </c>
      <c r="D33" s="7" t="s">
        <v>75</v>
      </c>
      <c r="E33" s="26" t="n">
        <v>4500</v>
      </c>
      <c r="F33" s="27"/>
    </row>
    <row r="36" customFormat="false" ht="15" hidden="false" customHeight="false" outlineLevel="0" collapsed="false">
      <c r="C36" s="16" t="s">
        <v>141</v>
      </c>
      <c r="E36" s="17" t="n">
        <f aca="false">SUM(E5:E33)</f>
        <v>184501</v>
      </c>
    </row>
    <row r="38" customFormat="false" ht="15" hidden="false" customHeight="false" outlineLevel="0" collapsed="false">
      <c r="A38" s="28" t="s">
        <v>142</v>
      </c>
    </row>
    <row r="39" customFormat="false" ht="21.75" hidden="false" customHeight="true" outlineLevel="0" collapsed="false">
      <c r="A39" s="5" t="s">
        <v>67</v>
      </c>
      <c r="B39" s="6" t="s">
        <v>68</v>
      </c>
      <c r="C39" s="6" t="s">
        <v>69</v>
      </c>
      <c r="D39" s="6" t="s">
        <v>70</v>
      </c>
      <c r="E39" s="6" t="s">
        <v>71</v>
      </c>
      <c r="F39" s="6" t="s">
        <v>72</v>
      </c>
    </row>
    <row r="40" customFormat="false" ht="15" hidden="false" customHeight="false" outlineLevel="0" collapsed="false">
      <c r="A40" s="25" t="n">
        <v>1</v>
      </c>
      <c r="B40" s="7" t="s">
        <v>143</v>
      </c>
      <c r="C40" s="7" t="s">
        <v>144</v>
      </c>
      <c r="D40" s="7" t="s">
        <v>81</v>
      </c>
      <c r="E40" s="26" t="n">
        <v>1200</v>
      </c>
      <c r="F40" s="27"/>
    </row>
    <row r="41" customFormat="false" ht="15" hidden="false" customHeight="false" outlineLevel="0" collapsed="false">
      <c r="A41" s="25" t="n">
        <v>2</v>
      </c>
      <c r="B41" s="7" t="s">
        <v>143</v>
      </c>
      <c r="C41" s="7" t="s">
        <v>145</v>
      </c>
      <c r="D41" s="7" t="s">
        <v>81</v>
      </c>
      <c r="E41" s="26" t="n">
        <v>3000</v>
      </c>
      <c r="F41" s="27" t="s">
        <v>146</v>
      </c>
    </row>
    <row r="42" customFormat="false" ht="15" hidden="false" customHeight="false" outlineLevel="0" collapsed="false">
      <c r="A42" s="25" t="n">
        <v>3</v>
      </c>
      <c r="B42" s="7" t="s">
        <v>143</v>
      </c>
      <c r="C42" s="7" t="s">
        <v>147</v>
      </c>
      <c r="D42" s="7" t="s">
        <v>81</v>
      </c>
      <c r="E42" s="26" t="n">
        <v>800</v>
      </c>
      <c r="F42" s="27"/>
    </row>
    <row r="43" customFormat="false" ht="15" hidden="false" customHeight="false" outlineLevel="0" collapsed="false">
      <c r="A43" s="25" t="n">
        <v>4</v>
      </c>
      <c r="B43" s="7" t="s">
        <v>143</v>
      </c>
      <c r="C43" s="7" t="s">
        <v>148</v>
      </c>
      <c r="D43" s="7" t="s">
        <v>81</v>
      </c>
      <c r="E43" s="26" t="n">
        <v>1500</v>
      </c>
      <c r="F43" s="27"/>
    </row>
    <row r="44" customFormat="false" ht="15" hidden="false" customHeight="false" outlineLevel="0" collapsed="false">
      <c r="A44" s="25" t="n">
        <v>5</v>
      </c>
      <c r="B44" s="7" t="s">
        <v>143</v>
      </c>
      <c r="C44" s="7" t="s">
        <v>149</v>
      </c>
      <c r="D44" s="7" t="s">
        <v>81</v>
      </c>
      <c r="E44" s="26" t="n">
        <v>1000</v>
      </c>
      <c r="F44" s="27"/>
    </row>
    <row r="45" customFormat="false" ht="15" hidden="false" customHeight="false" outlineLevel="0" collapsed="false">
      <c r="A45" s="25" t="n">
        <v>6</v>
      </c>
      <c r="B45" s="7" t="s">
        <v>143</v>
      </c>
      <c r="C45" s="7" t="s">
        <v>150</v>
      </c>
      <c r="D45" s="7" t="s">
        <v>81</v>
      </c>
      <c r="E45" s="26" t="n">
        <v>700</v>
      </c>
      <c r="F45" s="27"/>
    </row>
    <row r="46" customFormat="false" ht="15" hidden="false" customHeight="false" outlineLevel="0" collapsed="false">
      <c r="C46" s="16" t="s">
        <v>151</v>
      </c>
      <c r="E46" s="17" t="n">
        <f aca="false">SUM(E40:E45)</f>
        <v>8200</v>
      </c>
    </row>
    <row r="48" customFormat="false" ht="15" hidden="false" customHeight="false" outlineLevel="0" collapsed="false">
      <c r="A48" s="28" t="s">
        <v>152</v>
      </c>
    </row>
    <row r="49" customFormat="false" ht="21.75" hidden="false" customHeight="true" outlineLevel="0" collapsed="false">
      <c r="A49" s="5" t="s">
        <v>67</v>
      </c>
      <c r="B49" s="6" t="s">
        <v>68</v>
      </c>
      <c r="C49" s="6" t="s">
        <v>69</v>
      </c>
      <c r="D49" s="6" t="s">
        <v>153</v>
      </c>
      <c r="E49" s="6" t="s">
        <v>71</v>
      </c>
      <c r="F49" s="6" t="s">
        <v>72</v>
      </c>
    </row>
    <row r="50" customFormat="false" ht="15" hidden="false" customHeight="false" outlineLevel="0" collapsed="false">
      <c r="A50" s="25" t="n">
        <v>1</v>
      </c>
      <c r="B50" s="7" t="s">
        <v>154</v>
      </c>
      <c r="C50" s="7" t="s">
        <v>40</v>
      </c>
      <c r="D50" s="19" t="n">
        <f aca="false">Summary!B14</f>
        <v>1700</v>
      </c>
      <c r="E50" s="14" t="n">
        <f aca="false">D50*Summary!$B$7</f>
        <v>40800</v>
      </c>
      <c r="F50" s="27" t="str">
        <f aca="false">"× "&amp;Summary!B7&amp;" weeks"</f>
        <v>× 24 weeks</v>
      </c>
    </row>
    <row r="51" customFormat="false" ht="15" hidden="false" customHeight="false" outlineLevel="0" collapsed="false">
      <c r="A51" s="25" t="n">
        <v>2</v>
      </c>
      <c r="B51" s="7" t="s">
        <v>154</v>
      </c>
      <c r="C51" s="7" t="s">
        <v>42</v>
      </c>
      <c r="D51" s="19" t="n">
        <f aca="false">Summary!B15</f>
        <v>600</v>
      </c>
      <c r="E51" s="14" t="n">
        <f aca="false">D51*Summary!$B$7</f>
        <v>14400</v>
      </c>
      <c r="F51" s="27" t="str">
        <f aca="false">"× "&amp;Summary!B7&amp;" weeks"</f>
        <v>× 24 weeks</v>
      </c>
    </row>
    <row r="52" customFormat="false" ht="15" hidden="false" customHeight="false" outlineLevel="0" collapsed="false">
      <c r="A52" s="25" t="n">
        <v>3</v>
      </c>
      <c r="B52" s="7" t="s">
        <v>154</v>
      </c>
      <c r="C52" s="7" t="s">
        <v>43</v>
      </c>
      <c r="D52" s="19" t="n">
        <f aca="false">Summary!B16</f>
        <v>1000</v>
      </c>
      <c r="E52" s="14" t="n">
        <f aca="false">D52*Summary!$B$7</f>
        <v>24000</v>
      </c>
      <c r="F52" s="27" t="str">
        <f aca="false">"× "&amp;Summary!B7&amp;" weeks"</f>
        <v>× 24 weeks</v>
      </c>
    </row>
    <row r="53" customFormat="false" ht="15" hidden="false" customHeight="false" outlineLevel="0" collapsed="false">
      <c r="C53" s="16" t="s">
        <v>155</v>
      </c>
      <c r="E53" s="17" t="n">
        <f aca="false">SUM(E50:E52)</f>
        <v>79200</v>
      </c>
    </row>
    <row r="55" customFormat="false" ht="15" hidden="false" customHeight="false" outlineLevel="0" collapsed="false">
      <c r="C55" s="29" t="s">
        <v>156</v>
      </c>
      <c r="E55" s="30" t="n">
        <f aca="false">E36+E46+E53</f>
        <v>271901</v>
      </c>
    </row>
    <row r="58" customFormat="false" ht="15" hidden="false" customHeight="false" outlineLevel="0" collapsed="false">
      <c r="A58" s="28" t="s">
        <v>157</v>
      </c>
    </row>
    <row r="59" customFormat="false" ht="15" hidden="false" customHeight="false" outlineLevel="0" collapsed="false">
      <c r="B59" s="31" t="s">
        <v>158</v>
      </c>
    </row>
    <row r="60" customFormat="false" ht="15" hidden="false" customHeight="false" outlineLevel="0" collapsed="false">
      <c r="B60" s="31" t="s">
        <v>159</v>
      </c>
    </row>
    <row r="61" customFormat="false" ht="15" hidden="false" customHeight="false" outlineLevel="0" collapsed="false">
      <c r="B61" s="31" t="s">
        <v>160</v>
      </c>
    </row>
    <row r="62" customFormat="false" ht="15" hidden="false" customHeight="false" outlineLevel="0" collapsed="false">
      <c r="B62" s="31" t="s">
        <v>161</v>
      </c>
    </row>
    <row r="63" customFormat="false" ht="15" hidden="false" customHeight="false" outlineLevel="0" collapsed="false">
      <c r="B63" s="31" t="s">
        <v>162</v>
      </c>
    </row>
    <row r="64" customFormat="false" ht="15" hidden="false" customHeight="false" outlineLevel="0" collapsed="false">
      <c r="B64" s="31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6" min="3" style="0" width="14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46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7" t="s">
        <v>166</v>
      </c>
      <c r="C4" s="12" t="n">
        <v>4500</v>
      </c>
      <c r="D4" s="2" t="s">
        <v>167</v>
      </c>
    </row>
    <row r="5" customFormat="false" ht="15" hidden="false" customHeight="false" outlineLevel="0" collapsed="false">
      <c r="A5" s="7" t="s">
        <v>168</v>
      </c>
      <c r="C5" s="32" t="n">
        <v>3</v>
      </c>
    </row>
    <row r="6" customFormat="false" ht="15" hidden="false" customHeight="false" outlineLevel="0" collapsed="false">
      <c r="A6" s="7" t="s">
        <v>169</v>
      </c>
      <c r="C6" s="12" t="n">
        <v>2500</v>
      </c>
    </row>
    <row r="7" customFormat="false" ht="15" hidden="false" customHeight="false" outlineLevel="0" collapsed="false">
      <c r="A7" s="7" t="s">
        <v>170</v>
      </c>
      <c r="C7" s="13" t="n">
        <v>0.02</v>
      </c>
    </row>
    <row r="9" customFormat="false" ht="21.75" hidden="false" customHeight="true" outlineLevel="0" collapsed="false">
      <c r="A9" s="5" t="s">
        <v>171</v>
      </c>
      <c r="B9" s="6" t="s">
        <v>69</v>
      </c>
      <c r="C9" s="6" t="s">
        <v>172</v>
      </c>
      <c r="D9" s="6" t="s">
        <v>173</v>
      </c>
      <c r="E9" s="6" t="s">
        <v>174</v>
      </c>
      <c r="F9" s="6" t="s">
        <v>175</v>
      </c>
      <c r="G9" s="6" t="s">
        <v>176</v>
      </c>
      <c r="H9" s="6" t="s">
        <v>177</v>
      </c>
      <c r="I9" s="6" t="s">
        <v>178</v>
      </c>
      <c r="J9" s="6" t="s">
        <v>72</v>
      </c>
    </row>
    <row r="10" customFormat="false" ht="15" hidden="false" customHeight="false" outlineLevel="0" collapsed="false">
      <c r="A10" s="7" t="s">
        <v>179</v>
      </c>
      <c r="B10" s="7" t="s">
        <v>180</v>
      </c>
      <c r="C10" s="26" t="n">
        <v>0</v>
      </c>
      <c r="D10" s="14" t="n">
        <f aca="false">C6*C5</f>
        <v>7500</v>
      </c>
      <c r="E10" s="14" t="n">
        <f aca="false">C10-D10</f>
        <v>-7500</v>
      </c>
      <c r="F10" s="15" t="n">
        <f aca="false">IF((Summary!$B$22+C10)=0,0,(Summary!$B$31+E10)/(Summary!$B$22+C10))</f>
        <v>0.0294524015669737</v>
      </c>
      <c r="G10" s="33" t="s">
        <v>181</v>
      </c>
      <c r="H10" s="14" t="n">
        <f aca="false">IF(G10="Y",C10,0)</f>
        <v>0</v>
      </c>
      <c r="I10" s="14" t="n">
        <f aca="false">IF(G10="Y",D10,0)</f>
        <v>7500</v>
      </c>
      <c r="J10" s="27" t="s">
        <v>182</v>
      </c>
    </row>
    <row r="11" customFormat="false" ht="15" hidden="false" customHeight="false" outlineLevel="0" collapsed="false">
      <c r="A11" s="7" t="s">
        <v>179</v>
      </c>
      <c r="B11" s="7" t="s">
        <v>183</v>
      </c>
      <c r="C11" s="26" t="n">
        <v>0</v>
      </c>
      <c r="D11" s="14" t="n">
        <f aca="false">C4*C5</f>
        <v>13500</v>
      </c>
      <c r="E11" s="14" t="n">
        <f aca="false">C11-D11</f>
        <v>-13500</v>
      </c>
      <c r="F11" s="15" t="n">
        <f aca="false">IF((Summary!$B$22+C11)=0,0,(Summary!$B$31+E11)/(Summary!$B$22+C11))</f>
        <v>0.00861036596009271</v>
      </c>
      <c r="G11" s="33" t="s">
        <v>184</v>
      </c>
      <c r="H11" s="14" t="n">
        <f aca="false">IF(G11="Y",C11,0)</f>
        <v>0</v>
      </c>
      <c r="I11" s="14" t="n">
        <f aca="false">IF(G11="Y",D11,0)</f>
        <v>0</v>
      </c>
      <c r="J11" s="27" t="s">
        <v>185</v>
      </c>
    </row>
    <row r="12" customFormat="false" ht="15" hidden="false" customHeight="false" outlineLevel="0" collapsed="false">
      <c r="A12" s="7" t="s">
        <v>179</v>
      </c>
      <c r="B12" s="7" t="s">
        <v>186</v>
      </c>
      <c r="C12" s="26" t="n">
        <v>0</v>
      </c>
      <c r="D12" s="14" t="n">
        <f aca="false">C4*Summary!B9</f>
        <v>24942.2632794457</v>
      </c>
      <c r="E12" s="14" t="n">
        <f aca="false">C12-D12</f>
        <v>-24942.2632794457</v>
      </c>
      <c r="F12" s="15" t="n">
        <f aca="false">IF((Summary!$B$22+C12)=0,0,(Summary!$B$31+E12)/(Summary!$B$22+C12))</f>
        <v>-0.0311363104888264</v>
      </c>
      <c r="G12" s="33" t="s">
        <v>184</v>
      </c>
      <c r="H12" s="14" t="n">
        <f aca="false">IF(G12="Y",C12,0)</f>
        <v>0</v>
      </c>
      <c r="I12" s="14" t="n">
        <f aca="false">IF(G12="Y",D12,0)</f>
        <v>0</v>
      </c>
      <c r="J12" s="27" t="s">
        <v>187</v>
      </c>
    </row>
    <row r="13" customFormat="false" ht="15" hidden="false" customHeight="false" outlineLevel="0" collapsed="false">
      <c r="A13" s="7" t="s">
        <v>179</v>
      </c>
      <c r="B13" s="7" t="s">
        <v>188</v>
      </c>
      <c r="C13" s="14" t="n">
        <f aca="false">-C7*Summary!B22</f>
        <v>-5757.595</v>
      </c>
      <c r="D13" s="26" t="n">
        <v>0</v>
      </c>
      <c r="E13" s="14" t="n">
        <f aca="false">C13-D13</f>
        <v>-5757.595</v>
      </c>
      <c r="F13" s="15" t="n">
        <f aca="false">IF((Summary!$B$22+C13)=0,0,(Summary!$B$31+E13)/(Summary!$B$22+C13))</f>
        <v>0.0362295368118112</v>
      </c>
      <c r="G13" s="33" t="s">
        <v>184</v>
      </c>
      <c r="H13" s="14" t="n">
        <f aca="false">IF(G13="Y",C13,0)</f>
        <v>0</v>
      </c>
      <c r="I13" s="14" t="n">
        <f aca="false">IF(G13="Y",D13,0)</f>
        <v>0</v>
      </c>
      <c r="J13" s="27"/>
    </row>
    <row r="14" customFormat="false" ht="15" hidden="false" customHeight="false" outlineLevel="0" collapsed="false">
      <c r="A14" s="7" t="s">
        <v>179</v>
      </c>
      <c r="B14" s="7" t="s">
        <v>189</v>
      </c>
      <c r="C14" s="14" t="n">
        <f aca="false">-(Summary!B11-Costs!E46)</f>
        <v>-8300</v>
      </c>
      <c r="D14" s="26" t="n">
        <v>0</v>
      </c>
      <c r="E14" s="14" t="n">
        <f aca="false">C14-D14</f>
        <v>-8300</v>
      </c>
      <c r="F14" s="15" t="n">
        <f aca="false">IF((Summary!$B$22+C14)=0,0,(Summary!$B$31+E14)/(Summary!$B$22+C14))</f>
        <v>0.0274653296599629</v>
      </c>
      <c r="G14" s="33" t="s">
        <v>184</v>
      </c>
      <c r="H14" s="14" t="n">
        <f aca="false">IF(G14="Y",C14,0)</f>
        <v>0</v>
      </c>
      <c r="I14" s="14" t="n">
        <f aca="false">IF(G14="Y",D14,0)</f>
        <v>0</v>
      </c>
      <c r="J14" s="27" t="s">
        <v>190</v>
      </c>
    </row>
    <row r="15" customFormat="false" ht="15" hidden="false" customHeight="false" outlineLevel="0" collapsed="false">
      <c r="A15" s="7" t="s">
        <v>179</v>
      </c>
      <c r="B15" s="7" t="s">
        <v>191</v>
      </c>
      <c r="C15" s="26" t="n">
        <v>0</v>
      </c>
      <c r="D15" s="26" t="n">
        <v>2000</v>
      </c>
      <c r="E15" s="14" t="n">
        <f aca="false">C15-D15</f>
        <v>-2000</v>
      </c>
      <c r="F15" s="15" t="n">
        <f aca="false">IF((Summary!$B$22+C15)=0,0,(Summary!$B$31+E15)/(Summary!$B$22+C15))</f>
        <v>0.0485576008732813</v>
      </c>
      <c r="G15" s="33" t="s">
        <v>184</v>
      </c>
      <c r="H15" s="14" t="n">
        <f aca="false">IF(G15="Y",C15,0)</f>
        <v>0</v>
      </c>
      <c r="I15" s="14" t="n">
        <f aca="false">IF(G15="Y",D15,0)</f>
        <v>0</v>
      </c>
      <c r="J15" s="27" t="s">
        <v>192</v>
      </c>
    </row>
    <row r="16" customFormat="false" ht="15" hidden="false" customHeight="false" outlineLevel="0" collapsed="false">
      <c r="A16" s="7" t="s">
        <v>179</v>
      </c>
      <c r="B16" s="7" t="s">
        <v>193</v>
      </c>
      <c r="C16" s="26" t="n">
        <v>0</v>
      </c>
      <c r="D16" s="26" t="n">
        <v>0</v>
      </c>
      <c r="E16" s="14" t="n">
        <f aca="false">C16-D16</f>
        <v>0</v>
      </c>
      <c r="F16" s="15" t="n">
        <f aca="false">IF((Summary!$B$22+C16)=0,0,(Summary!$B$31+E16)/(Summary!$B$22+C16))</f>
        <v>0.055504946075575</v>
      </c>
      <c r="G16" s="33" t="s">
        <v>184</v>
      </c>
      <c r="H16" s="14" t="n">
        <f aca="false">IF(G16="Y",C16,0)</f>
        <v>0</v>
      </c>
      <c r="I16" s="14" t="n">
        <f aca="false">IF(G16="Y",D16,0)</f>
        <v>0</v>
      </c>
      <c r="J16" s="27" t="s">
        <v>194</v>
      </c>
    </row>
    <row r="17" customFormat="false" ht="15" hidden="false" customHeight="false" outlineLevel="0" collapsed="false">
      <c r="A17" s="7" t="s">
        <v>179</v>
      </c>
      <c r="B17" s="7" t="s">
        <v>195</v>
      </c>
      <c r="C17" s="26" t="n">
        <v>0</v>
      </c>
      <c r="D17" s="26" t="n">
        <v>1000</v>
      </c>
      <c r="E17" s="14" t="n">
        <f aca="false">C17-D17</f>
        <v>-1000</v>
      </c>
      <c r="F17" s="15" t="n">
        <f aca="false">IF((Summary!$B$22+C17)=0,0,(Summary!$B$31+E17)/(Summary!$B$22+C17))</f>
        <v>0.0520312734744281</v>
      </c>
      <c r="G17" s="33" t="s">
        <v>184</v>
      </c>
      <c r="H17" s="14" t="n">
        <f aca="false">IF(G17="Y",C17,0)</f>
        <v>0</v>
      </c>
      <c r="I17" s="14" t="n">
        <f aca="false">IF(G17="Y",D17,0)</f>
        <v>0</v>
      </c>
      <c r="J17" s="27" t="s">
        <v>196</v>
      </c>
    </row>
    <row r="18" customFormat="false" ht="15" hidden="false" customHeight="false" outlineLevel="0" collapsed="false">
      <c r="A18" s="7" t="s">
        <v>197</v>
      </c>
      <c r="B18" s="7" t="s">
        <v>198</v>
      </c>
      <c r="C18" s="26" t="n">
        <v>1800</v>
      </c>
      <c r="D18" s="26" t="n">
        <v>1000</v>
      </c>
      <c r="E18" s="14" t="n">
        <f aca="false">C18-D18</f>
        <v>800</v>
      </c>
      <c r="F18" s="15" t="n">
        <f aca="false">IF((Summary!$B$22+C18)=0,0,(Summary!$B$31+E18)/(Summary!$B$22+C18))</f>
        <v>0.0579217221776807</v>
      </c>
      <c r="G18" s="33" t="s">
        <v>184</v>
      </c>
      <c r="H18" s="14" t="n">
        <f aca="false">IF(G18="Y",C18,0)</f>
        <v>0</v>
      </c>
      <c r="I18" s="14" t="n">
        <f aca="false">IF(G18="Y",D18,0)</f>
        <v>0</v>
      </c>
      <c r="J18" s="27" t="s">
        <v>199</v>
      </c>
    </row>
    <row r="19" customFormat="false" ht="15" hidden="false" customHeight="false" outlineLevel="0" collapsed="false">
      <c r="A19" s="7" t="s">
        <v>197</v>
      </c>
      <c r="B19" s="7" t="s">
        <v>200</v>
      </c>
      <c r="C19" s="26" t="n">
        <v>2500</v>
      </c>
      <c r="D19" s="26" t="n">
        <v>1400</v>
      </c>
      <c r="E19" s="14" t="n">
        <f aca="false">C19-D19</f>
        <v>1100</v>
      </c>
      <c r="F19" s="15" t="n">
        <f aca="false">IF((Summary!$B$22+C19)=0,0,(Summary!$B$31+E19)/(Summary!$B$22+C19))</f>
        <v>0.0588152238577242</v>
      </c>
      <c r="G19" s="33" t="s">
        <v>184</v>
      </c>
      <c r="H19" s="14" t="n">
        <f aca="false">IF(G19="Y",C19,0)</f>
        <v>0</v>
      </c>
      <c r="I19" s="14" t="n">
        <f aca="false">IF(G19="Y",D19,0)</f>
        <v>0</v>
      </c>
      <c r="J19" s="27" t="s">
        <v>201</v>
      </c>
    </row>
    <row r="20" customFormat="false" ht="15" hidden="false" customHeight="false" outlineLevel="0" collapsed="false">
      <c r="A20" s="7" t="s">
        <v>197</v>
      </c>
      <c r="B20" s="7" t="s">
        <v>202</v>
      </c>
      <c r="C20" s="26" t="n">
        <v>2200</v>
      </c>
      <c r="D20" s="26" t="n">
        <v>1300</v>
      </c>
      <c r="E20" s="14" t="n">
        <f aca="false">C20-D20</f>
        <v>900</v>
      </c>
      <c r="F20" s="15" t="n">
        <f aca="false">IF((Summary!$B$22+C20)=0,0,(Summary!$B$31+E20)/(Summary!$B$22+C20))</f>
        <v>0.0581865848960501</v>
      </c>
      <c r="G20" s="33" t="s">
        <v>184</v>
      </c>
      <c r="H20" s="14" t="n">
        <f aca="false">IF(G20="Y",C20,0)</f>
        <v>0</v>
      </c>
      <c r="I20" s="14" t="n">
        <f aca="false">IF(G20="Y",D20,0)</f>
        <v>0</v>
      </c>
      <c r="J20" s="27" t="s">
        <v>199</v>
      </c>
    </row>
    <row r="21" customFormat="false" ht="15" hidden="false" customHeight="false" outlineLevel="0" collapsed="false">
      <c r="A21" s="7" t="s">
        <v>197</v>
      </c>
      <c r="B21" s="7" t="s">
        <v>203</v>
      </c>
      <c r="C21" s="26" t="n">
        <v>6500</v>
      </c>
      <c r="D21" s="26" t="n">
        <v>4200</v>
      </c>
      <c r="E21" s="14" t="n">
        <f aca="false">C21-D21</f>
        <v>2300</v>
      </c>
      <c r="F21" s="15" t="n">
        <f aca="false">IF((Summary!$B$22+C21)=0,0,(Summary!$B$31+E21)/(Summary!$B$22+C21))</f>
        <v>0.0620924163431758</v>
      </c>
      <c r="G21" s="33" t="s">
        <v>184</v>
      </c>
      <c r="H21" s="14" t="n">
        <f aca="false">IF(G21="Y",C21,0)</f>
        <v>0</v>
      </c>
      <c r="I21" s="14" t="n">
        <f aca="false">IF(G21="Y",D21,0)</f>
        <v>0</v>
      </c>
      <c r="J21" s="27" t="s">
        <v>199</v>
      </c>
    </row>
    <row r="22" customFormat="false" ht="15" hidden="false" customHeight="false" outlineLevel="0" collapsed="false">
      <c r="A22" s="7" t="s">
        <v>197</v>
      </c>
      <c r="B22" s="7" t="s">
        <v>204</v>
      </c>
      <c r="C22" s="26" t="n">
        <v>1800</v>
      </c>
      <c r="D22" s="26" t="n">
        <v>900</v>
      </c>
      <c r="E22" s="14" t="n">
        <f aca="false">C22-D22</f>
        <v>900</v>
      </c>
      <c r="F22" s="15" t="n">
        <f aca="false">IF((Summary!$B$22+C22)=0,0,(Summary!$B$31+E22)/(Summary!$B$22+C22))</f>
        <v>0.0582669309815408</v>
      </c>
      <c r="G22" s="33" t="s">
        <v>184</v>
      </c>
      <c r="H22" s="14" t="n">
        <f aca="false">IF(G22="Y",C22,0)</f>
        <v>0</v>
      </c>
      <c r="I22" s="14" t="n">
        <f aca="false">IF(G22="Y",D22,0)</f>
        <v>0</v>
      </c>
      <c r="J22" s="27" t="s">
        <v>199</v>
      </c>
    </row>
    <row r="23" customFormat="false" ht="15" hidden="false" customHeight="false" outlineLevel="0" collapsed="false">
      <c r="A23" s="7" t="s">
        <v>197</v>
      </c>
      <c r="B23" s="7" t="s">
        <v>205</v>
      </c>
      <c r="C23" s="26" t="n">
        <v>3000</v>
      </c>
      <c r="D23" s="26" t="n">
        <v>2000</v>
      </c>
      <c r="E23" s="14" t="n">
        <f aca="false">C23-D23</f>
        <v>1000</v>
      </c>
      <c r="F23" s="15" t="n">
        <f aca="false">IF((Summary!$B$22+C23)=0,0,(Summary!$B$31+E23)/(Summary!$B$22+C23))</f>
        <v>0.0583703403210433</v>
      </c>
      <c r="G23" s="33" t="s">
        <v>184</v>
      </c>
      <c r="H23" s="14" t="n">
        <f aca="false">IF(G23="Y",C23,0)</f>
        <v>0</v>
      </c>
      <c r="I23" s="14" t="n">
        <f aca="false">IF(G23="Y",D23,0)</f>
        <v>0</v>
      </c>
      <c r="J23" s="27" t="s">
        <v>206</v>
      </c>
    </row>
    <row r="24" customFormat="false" ht="15" hidden="false" customHeight="false" outlineLevel="0" collapsed="false">
      <c r="A24" s="7" t="s">
        <v>197</v>
      </c>
      <c r="B24" s="7" t="s">
        <v>207</v>
      </c>
      <c r="C24" s="26" t="n">
        <v>2500</v>
      </c>
      <c r="D24" s="26" t="n">
        <v>1500</v>
      </c>
      <c r="E24" s="14" t="n">
        <f aca="false">C24-D24</f>
        <v>1000</v>
      </c>
      <c r="F24" s="15" t="n">
        <f aca="false">IF((Summary!$B$22+C24)=0,0,(Summary!$B$31+E24)/(Summary!$B$22+C24))</f>
        <v>0.058470847226778</v>
      </c>
      <c r="G24" s="33" t="s">
        <v>184</v>
      </c>
      <c r="H24" s="14" t="n">
        <f aca="false">IF(G24="Y",C24,0)</f>
        <v>0</v>
      </c>
      <c r="I24" s="14" t="n">
        <f aca="false">IF(G24="Y",D24,0)</f>
        <v>0</v>
      </c>
      <c r="J24" s="27" t="s">
        <v>199</v>
      </c>
    </row>
    <row r="25" customFormat="false" ht="15" hidden="false" customHeight="false" outlineLevel="0" collapsed="false">
      <c r="A25" s="7" t="s">
        <v>208</v>
      </c>
      <c r="B25" s="7" t="s">
        <v>209</v>
      </c>
      <c r="C25" s="26" t="n">
        <v>0</v>
      </c>
      <c r="D25" s="26" t="n">
        <v>-2375</v>
      </c>
      <c r="E25" s="14" t="n">
        <f aca="false">C25-D25</f>
        <v>2375</v>
      </c>
      <c r="F25" s="15" t="n">
        <f aca="false">IF((Summary!$B$22+C25)=0,0,(Summary!$B$31+E25)/(Summary!$B$22+C25))</f>
        <v>0.0637549185032987</v>
      </c>
      <c r="G25" s="33" t="s">
        <v>184</v>
      </c>
      <c r="H25" s="14" t="n">
        <f aca="false">IF(G25="Y",C25,0)</f>
        <v>0</v>
      </c>
      <c r="I25" s="14" t="n">
        <f aca="false">IF(G25="Y",D25,0)</f>
        <v>0</v>
      </c>
      <c r="J25" s="27" t="s">
        <v>210</v>
      </c>
    </row>
    <row r="26" customFormat="false" ht="15" hidden="false" customHeight="false" outlineLevel="0" collapsed="false">
      <c r="A26" s="7" t="s">
        <v>208</v>
      </c>
      <c r="B26" s="7" t="s">
        <v>211</v>
      </c>
      <c r="C26" s="26" t="n">
        <v>0</v>
      </c>
      <c r="D26" s="26" t="n">
        <v>-4525</v>
      </c>
      <c r="E26" s="14" t="n">
        <f aca="false">C26-D26</f>
        <v>4525</v>
      </c>
      <c r="F26" s="15" t="n">
        <f aca="false">IF((Summary!$B$22+C26)=0,0,(Summary!$B$31+E26)/(Summary!$B$22+C26))</f>
        <v>0.0712233145957644</v>
      </c>
      <c r="G26" s="33" t="s">
        <v>184</v>
      </c>
      <c r="H26" s="14" t="n">
        <f aca="false">IF(G26="Y",C26,0)</f>
        <v>0</v>
      </c>
      <c r="I26" s="14" t="n">
        <f aca="false">IF(G26="Y",D26,0)</f>
        <v>0</v>
      </c>
      <c r="J26" s="27" t="s">
        <v>210</v>
      </c>
    </row>
    <row r="27" customFormat="false" ht="15" hidden="false" customHeight="false" outlineLevel="0" collapsed="false">
      <c r="A27" s="7" t="s">
        <v>208</v>
      </c>
      <c r="B27" s="7" t="s">
        <v>212</v>
      </c>
      <c r="C27" s="26" t="n">
        <v>0</v>
      </c>
      <c r="D27" s="26" t="n">
        <v>-324</v>
      </c>
      <c r="E27" s="14" t="n">
        <f aca="false">C27-D27</f>
        <v>324</v>
      </c>
      <c r="F27" s="15" t="n">
        <f aca="false">IF((Summary!$B$22+C27)=0,0,(Summary!$B$31+E27)/(Summary!$B$22+C27))</f>
        <v>0.0566304159983465</v>
      </c>
      <c r="G27" s="33" t="s">
        <v>184</v>
      </c>
      <c r="H27" s="14" t="n">
        <f aca="false">IF(G27="Y",C27,0)</f>
        <v>0</v>
      </c>
      <c r="I27" s="14" t="n">
        <f aca="false">IF(G27="Y",D27,0)</f>
        <v>0</v>
      </c>
      <c r="J27" s="27"/>
    </row>
    <row r="28" customFormat="false" ht="15" hidden="false" customHeight="false" outlineLevel="0" collapsed="false">
      <c r="A28" s="7" t="s">
        <v>208</v>
      </c>
      <c r="B28" s="7" t="s">
        <v>213</v>
      </c>
      <c r="C28" s="26" t="n">
        <v>0</v>
      </c>
      <c r="D28" s="26" t="n">
        <v>-3000</v>
      </c>
      <c r="E28" s="14" t="n">
        <f aca="false">C28-D28</f>
        <v>3000</v>
      </c>
      <c r="F28" s="15" t="n">
        <f aca="false">IF((Summary!$B$22+C28)=0,0,(Summary!$B$31+E28)/(Summary!$B$22+C28))</f>
        <v>0.0659259638790155</v>
      </c>
      <c r="G28" s="33" t="s">
        <v>184</v>
      </c>
      <c r="H28" s="14" t="n">
        <f aca="false">IF(G28="Y",C28,0)</f>
        <v>0</v>
      </c>
      <c r="I28" s="14" t="n">
        <f aca="false">IF(G28="Y",D28,0)</f>
        <v>0</v>
      </c>
      <c r="J28" s="27" t="s">
        <v>214</v>
      </c>
    </row>
    <row r="29" customFormat="false" ht="15" hidden="false" customHeight="false" outlineLevel="0" collapsed="false">
      <c r="B29" s="16" t="s">
        <v>215</v>
      </c>
      <c r="E29" s="17" t="n">
        <f aca="false">H29-I29</f>
        <v>-7500</v>
      </c>
      <c r="H29" s="17" t="n">
        <f aca="false">SUM(H10:H28)</f>
        <v>0</v>
      </c>
      <c r="I29" s="17" t="n">
        <f aca="false">SUM(I10:I28)</f>
        <v>7500</v>
      </c>
    </row>
    <row r="30" customFormat="false" ht="15" hidden="false" customHeight="false" outlineLevel="0" collapsed="false">
      <c r="B30" s="34" t="s">
        <v>216</v>
      </c>
      <c r="E30" s="35" t="n">
        <f aca="false">Summary!B43</f>
        <v>0.0294524015669737</v>
      </c>
    </row>
  </sheetData>
  <dataValidations count="1">
    <dataValidation allowBlank="false" errorStyle="stop" operator="between" showDropDown="false" showErrorMessage="false" showInputMessage="false" sqref="G10:G2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21.75" hidden="false" customHeight="true" outlineLevel="0" collapsed="false">
      <c r="A4" s="5" t="s">
        <v>67</v>
      </c>
      <c r="B4" s="6" t="s">
        <v>219</v>
      </c>
      <c r="C4" s="6" t="s">
        <v>220</v>
      </c>
      <c r="D4" s="6" t="s">
        <v>221</v>
      </c>
      <c r="E4" s="6" t="s">
        <v>222</v>
      </c>
      <c r="F4" s="6" t="s">
        <v>72</v>
      </c>
    </row>
    <row r="5" customFormat="false" ht="15" hidden="false" customHeight="false" outlineLevel="0" collapsed="false">
      <c r="A5" s="25" t="n">
        <v>1</v>
      </c>
      <c r="B5" s="7" t="s">
        <v>223</v>
      </c>
      <c r="C5" s="36" t="n">
        <v>2</v>
      </c>
      <c r="D5" s="37" t="n">
        <f aca="false">Summary!B6</f>
        <v>46524</v>
      </c>
      <c r="E5" s="38" t="n">
        <f aca="false">D5+C5*7-3</f>
        <v>46535</v>
      </c>
      <c r="F5" s="27" t="s">
        <v>224</v>
      </c>
    </row>
    <row r="6" customFormat="false" ht="15" hidden="false" customHeight="false" outlineLevel="0" collapsed="false">
      <c r="A6" s="25" t="n">
        <v>2</v>
      </c>
      <c r="B6" s="7" t="s">
        <v>225</v>
      </c>
      <c r="C6" s="36" t="n">
        <v>2</v>
      </c>
      <c r="D6" s="38" t="n">
        <f aca="false">E5+3</f>
        <v>46538</v>
      </c>
      <c r="E6" s="38" t="n">
        <f aca="false">D6+C6*7-3</f>
        <v>46549</v>
      </c>
      <c r="F6" s="27" t="s">
        <v>226</v>
      </c>
    </row>
    <row r="7" customFormat="false" ht="15" hidden="false" customHeight="false" outlineLevel="0" collapsed="false">
      <c r="A7" s="25" t="n">
        <v>3</v>
      </c>
      <c r="B7" s="7" t="s">
        <v>227</v>
      </c>
      <c r="C7" s="36" t="n">
        <v>5</v>
      </c>
      <c r="D7" s="38" t="n">
        <f aca="false">E6+3</f>
        <v>46552</v>
      </c>
      <c r="E7" s="38" t="n">
        <f aca="false">D7+C7*7-3</f>
        <v>46584</v>
      </c>
      <c r="F7" s="27"/>
    </row>
    <row r="8" customFormat="false" ht="15" hidden="false" customHeight="false" outlineLevel="0" collapsed="false">
      <c r="A8" s="25" t="n">
        <v>4</v>
      </c>
      <c r="B8" s="7" t="s">
        <v>228</v>
      </c>
      <c r="C8" s="36" t="n">
        <v>2</v>
      </c>
      <c r="D8" s="38" t="n">
        <f aca="false">E7+3</f>
        <v>46587</v>
      </c>
      <c r="E8" s="38" t="n">
        <f aca="false">D8+C8*7-3</f>
        <v>46598</v>
      </c>
      <c r="F8" s="27"/>
    </row>
    <row r="9" customFormat="false" ht="15" hidden="false" customHeight="false" outlineLevel="0" collapsed="false">
      <c r="A9" s="25" t="n">
        <v>5</v>
      </c>
      <c r="B9" s="7" t="s">
        <v>229</v>
      </c>
      <c r="C9" s="36" t="n">
        <v>3</v>
      </c>
      <c r="D9" s="38" t="n">
        <f aca="false">E8+3</f>
        <v>46601</v>
      </c>
      <c r="E9" s="38" t="n">
        <f aca="false">D9+C9*7-3</f>
        <v>46619</v>
      </c>
      <c r="F9" s="27" t="s">
        <v>230</v>
      </c>
    </row>
    <row r="10" customFormat="false" ht="15" hidden="false" customHeight="false" outlineLevel="0" collapsed="false">
      <c r="A10" s="25" t="n">
        <v>6</v>
      </c>
      <c r="B10" s="7" t="s">
        <v>231</v>
      </c>
      <c r="C10" s="36" t="n">
        <v>3</v>
      </c>
      <c r="D10" s="38" t="n">
        <f aca="false">E9+3</f>
        <v>46622</v>
      </c>
      <c r="E10" s="38" t="n">
        <f aca="false">D10+C10*7-3</f>
        <v>46640</v>
      </c>
      <c r="F10" s="27" t="s">
        <v>232</v>
      </c>
    </row>
    <row r="11" customFormat="false" ht="15" hidden="false" customHeight="false" outlineLevel="0" collapsed="false">
      <c r="A11" s="25" t="n">
        <v>7</v>
      </c>
      <c r="B11" s="7" t="s">
        <v>233</v>
      </c>
      <c r="C11" s="36" t="n">
        <v>4</v>
      </c>
      <c r="D11" s="38" t="n">
        <f aca="false">E10+3</f>
        <v>46643</v>
      </c>
      <c r="E11" s="38" t="n">
        <f aca="false">D11+C11*7-3</f>
        <v>46668</v>
      </c>
      <c r="F11" s="27" t="s">
        <v>234</v>
      </c>
    </row>
    <row r="12" customFormat="false" ht="15" hidden="false" customHeight="false" outlineLevel="0" collapsed="false">
      <c r="A12" s="25" t="n">
        <v>8</v>
      </c>
      <c r="B12" s="7" t="s">
        <v>235</v>
      </c>
      <c r="C12" s="36" t="n">
        <v>2</v>
      </c>
      <c r="D12" s="38" t="n">
        <f aca="false">E11+3</f>
        <v>46671</v>
      </c>
      <c r="E12" s="38" t="n">
        <f aca="false">D12+C12*7-3</f>
        <v>46682</v>
      </c>
      <c r="F12" s="27" t="s">
        <v>236</v>
      </c>
    </row>
    <row r="13" customFormat="false" ht="15" hidden="false" customHeight="false" outlineLevel="0" collapsed="false">
      <c r="A13" s="25" t="n">
        <v>9</v>
      </c>
      <c r="B13" s="7" t="s">
        <v>237</v>
      </c>
      <c r="C13" s="36" t="n">
        <v>1</v>
      </c>
      <c r="D13" s="38" t="n">
        <f aca="false">E12+3</f>
        <v>46685</v>
      </c>
      <c r="E13" s="38" t="n">
        <f aca="false">D13+C13*7-3</f>
        <v>46689</v>
      </c>
      <c r="F13" s="27"/>
    </row>
    <row r="16" customFormat="false" ht="15" hidden="false" customHeight="false" outlineLevel="0" collapsed="false">
      <c r="B16" s="16" t="s">
        <v>238</v>
      </c>
      <c r="C16" s="39" t="n">
        <f aca="false">SUM(C5:C13)</f>
        <v>24</v>
      </c>
      <c r="D16" s="40" t="n">
        <f aca="false">D5</f>
        <v>46524</v>
      </c>
      <c r="E16" s="40" t="n">
        <f aca="false">E13</f>
        <v>46689</v>
      </c>
    </row>
    <row r="19" customFormat="false" ht="15" hidden="false" customHeight="false" outlineLevel="0" collapsed="false">
      <c r="A19" s="28" t="s">
        <v>239</v>
      </c>
    </row>
    <row r="20" customFormat="false" ht="21.75" hidden="false" customHeight="true" outlineLevel="0" collapsed="false">
      <c r="A20" s="5" t="s">
        <v>67</v>
      </c>
      <c r="B20" s="6" t="s">
        <v>240</v>
      </c>
      <c r="C20" s="6"/>
      <c r="D20" s="6" t="s">
        <v>241</v>
      </c>
      <c r="E20" s="6"/>
      <c r="F20" s="6" t="s">
        <v>72</v>
      </c>
    </row>
    <row r="21" customFormat="false" ht="15" hidden="false" customHeight="false" outlineLevel="0" collapsed="false">
      <c r="A21" s="25" t="n">
        <v>1</v>
      </c>
      <c r="B21" s="7" t="s">
        <v>242</v>
      </c>
      <c r="D21" s="41" t="n">
        <v>46311</v>
      </c>
      <c r="F21" s="27" t="s">
        <v>243</v>
      </c>
    </row>
    <row r="22" customFormat="false" ht="15" hidden="false" customHeight="false" outlineLevel="0" collapsed="false">
      <c r="A22" s="25" t="n">
        <v>2</v>
      </c>
      <c r="B22" s="7" t="s">
        <v>244</v>
      </c>
      <c r="D22" s="41" t="n">
        <v>46339</v>
      </c>
      <c r="F22" s="27"/>
    </row>
    <row r="23" customFormat="false" ht="15" hidden="false" customHeight="false" outlineLevel="0" collapsed="false">
      <c r="A23" s="25" t="n">
        <v>3</v>
      </c>
      <c r="B23" s="7" t="s">
        <v>245</v>
      </c>
      <c r="D23" s="41" t="n">
        <v>46353</v>
      </c>
      <c r="F23" s="27"/>
    </row>
    <row r="24" customFormat="false" ht="15" hidden="false" customHeight="false" outlineLevel="0" collapsed="false">
      <c r="A24" s="25" t="n">
        <v>4</v>
      </c>
      <c r="B24" s="7" t="s">
        <v>246</v>
      </c>
      <c r="D24" s="41" t="n">
        <v>46360</v>
      </c>
      <c r="F24" s="27"/>
    </row>
    <row r="25" customFormat="false" ht="15" hidden="false" customHeight="false" outlineLevel="0" collapsed="false">
      <c r="A25" s="25" t="n">
        <v>5</v>
      </c>
      <c r="B25" s="7" t="s">
        <v>247</v>
      </c>
      <c r="D25" s="41" t="n">
        <v>46402</v>
      </c>
      <c r="F25" s="27" t="s">
        <v>248</v>
      </c>
    </row>
    <row r="26" customFormat="false" ht="15" hidden="false" customHeight="false" outlineLevel="0" collapsed="false">
      <c r="A26" s="25" t="n">
        <v>6</v>
      </c>
      <c r="B26" s="7" t="s">
        <v>249</v>
      </c>
      <c r="D26" s="41" t="n">
        <v>46477</v>
      </c>
      <c r="F26" s="27" t="s">
        <v>250</v>
      </c>
    </row>
    <row r="27" customFormat="false" ht="15" hidden="false" customHeight="false" outlineLevel="0" collapsed="false">
      <c r="A27" s="25" t="n">
        <v>7</v>
      </c>
      <c r="B27" s="7" t="s">
        <v>251</v>
      </c>
      <c r="D27" s="41" t="n">
        <v>46492</v>
      </c>
      <c r="F27" s="27"/>
    </row>
    <row r="28" customFormat="false" ht="15" hidden="false" customHeight="false" outlineLevel="0" collapsed="false">
      <c r="A28" s="25" t="n">
        <v>8</v>
      </c>
      <c r="B28" s="7" t="s">
        <v>252</v>
      </c>
      <c r="D28" s="37" t="n">
        <f aca="false">Summary!B6-2</f>
        <v>46522</v>
      </c>
      <c r="F28" s="27" t="s">
        <v>253</v>
      </c>
    </row>
    <row r="29" customFormat="false" ht="15" hidden="false" customHeight="false" outlineLevel="0" collapsed="false">
      <c r="A29" s="25" t="n">
        <v>9</v>
      </c>
      <c r="B29" s="7" t="s">
        <v>254</v>
      </c>
      <c r="D29" s="37" t="n">
        <f aca="false">Summary!B6</f>
        <v>46524</v>
      </c>
      <c r="F29" s="27"/>
    </row>
    <row r="30" customFormat="false" ht="15" hidden="false" customHeight="false" outlineLevel="0" collapsed="false">
      <c r="A30" s="25" t="n">
        <v>10</v>
      </c>
      <c r="B30" s="7" t="s">
        <v>255</v>
      </c>
      <c r="D30" s="38" t="n">
        <f aca="false">E16</f>
        <v>46689</v>
      </c>
      <c r="F3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4"/>
    <col collapsed="false" customWidth="true" hidden="false" outlineLevel="0" max="8" min="6" style="0" width="16"/>
  </cols>
  <sheetData>
    <row r="1" customFormat="false" ht="17.3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2" t="s">
        <v>257</v>
      </c>
    </row>
    <row r="4" customFormat="false" ht="15" hidden="false" customHeight="false" outlineLevel="0" collapsed="false">
      <c r="A4" s="34" t="s">
        <v>258</v>
      </c>
      <c r="B4" s="42" t="n">
        <v>35000</v>
      </c>
      <c r="C4" s="42" t="n">
        <v>37500</v>
      </c>
      <c r="D4" s="42" t="n">
        <v>40000</v>
      </c>
      <c r="F4" s="43" t="n">
        <f aca="false">B4</f>
        <v>35000</v>
      </c>
      <c r="G4" s="43" t="n">
        <f aca="false">C4</f>
        <v>37500</v>
      </c>
      <c r="H4" s="43" t="n">
        <f aca="false">D4</f>
        <v>40000</v>
      </c>
    </row>
    <row r="5" customFormat="false" ht="21.75" hidden="false" customHeight="true" outlineLevel="0" collapsed="false">
      <c r="A5" s="5" t="s">
        <v>220</v>
      </c>
      <c r="B5" s="6" t="s">
        <v>259</v>
      </c>
      <c r="C5" s="6" t="s">
        <v>259</v>
      </c>
      <c r="D5" s="6" t="s">
        <v>259</v>
      </c>
      <c r="E5" s="6"/>
      <c r="F5" s="6" t="s">
        <v>260</v>
      </c>
      <c r="G5" s="6" t="s">
        <v>260</v>
      </c>
      <c r="H5" s="6" t="s">
        <v>260</v>
      </c>
    </row>
    <row r="6" customFormat="false" ht="15" hidden="false" customHeight="false" outlineLevel="0" collapsed="false">
      <c r="A6" s="36" t="n">
        <v>12</v>
      </c>
      <c r="B6" s="15" t="n">
        <f aca="false">IF(Summary!$B$22=0,0,F6/Summary!$B$22)</f>
        <v>0.201746562583857</v>
      </c>
      <c r="C6" s="15" t="n">
        <f aca="false">IF(Summary!$B$22=0,0,G6/Summary!$B$22)</f>
        <v>0.19306238108099</v>
      </c>
      <c r="D6" s="15" t="n">
        <f aca="false">IF(Summary!$B$22=0,0,H6/Summary!$B$22)</f>
        <v>0.184378199578122</v>
      </c>
      <c r="F6" s="14" t="n">
        <f aca="false">Summary!$B$22-(Costs!$E$36-Summary!$B$13+B$4+Costs!$E$46+$A6*Summary!$B$34)</f>
        <v>58078.75</v>
      </c>
      <c r="G6" s="14" t="n">
        <f aca="false">Summary!$B$22-(Costs!$E$36-Summary!$B$13+C$4+Costs!$E$46+$A6*Summary!$B$34)</f>
        <v>55578.75</v>
      </c>
      <c r="H6" s="14" t="n">
        <f aca="false">Summary!$B$22-(Costs!$E$36-Summary!$B$13+D$4+Costs!$E$46+$A6*Summary!$B$34)</f>
        <v>53078.75</v>
      </c>
    </row>
    <row r="7" customFormat="false" ht="15" hidden="false" customHeight="false" outlineLevel="0" collapsed="false">
      <c r="A7" s="36" t="n">
        <v>16</v>
      </c>
      <c r="B7" s="15" t="n">
        <f aca="false">IF(Summary!$B$22=0,0,F7/Summary!$B$22)</f>
        <v>0.155894084248718</v>
      </c>
      <c r="C7" s="15" t="n">
        <f aca="false">IF(Summary!$B$22=0,0,G7/Summary!$B$22)</f>
        <v>0.147209902745851</v>
      </c>
      <c r="D7" s="15" t="n">
        <f aca="false">IF(Summary!$B$22=0,0,H7/Summary!$B$22)</f>
        <v>0.138525721242984</v>
      </c>
      <c r="F7" s="14" t="n">
        <f aca="false">Summary!$B$22-(Costs!$E$36-Summary!$B$13+B$4+Costs!$E$46+$A7*Summary!$B$34)</f>
        <v>44878.75</v>
      </c>
      <c r="G7" s="14" t="n">
        <f aca="false">Summary!$B$22-(Costs!$E$36-Summary!$B$13+C$4+Costs!$E$46+$A7*Summary!$B$34)</f>
        <v>42378.75</v>
      </c>
      <c r="H7" s="14" t="n">
        <f aca="false">Summary!$B$22-(Costs!$E$36-Summary!$B$13+D$4+Costs!$E$46+$A7*Summary!$B$34)</f>
        <v>39878.75</v>
      </c>
    </row>
    <row r="8" customFormat="false" ht="15" hidden="false" customHeight="false" outlineLevel="0" collapsed="false">
      <c r="A8" s="36" t="n">
        <v>20</v>
      </c>
      <c r="B8" s="15" t="n">
        <f aca="false">IF(Summary!$B$22=0,0,F8/Summary!$B$22)</f>
        <v>0.11004160591358</v>
      </c>
      <c r="C8" s="15" t="n">
        <f aca="false">IF(Summary!$B$22=0,0,G8/Summary!$B$22)</f>
        <v>0.101357424410713</v>
      </c>
      <c r="D8" s="15" t="n">
        <f aca="false">IF(Summary!$B$22=0,0,H8/Summary!$B$22)</f>
        <v>0.0926732429078461</v>
      </c>
      <c r="F8" s="14" t="n">
        <f aca="false">Summary!$B$22-(Costs!$E$36-Summary!$B$13+B$4+Costs!$E$46+$A8*Summary!$B$34)</f>
        <v>31678.75</v>
      </c>
      <c r="G8" s="14" t="n">
        <f aca="false">Summary!$B$22-(Costs!$E$36-Summary!$B$13+C$4+Costs!$E$46+$A8*Summary!$B$34)</f>
        <v>29178.75</v>
      </c>
      <c r="H8" s="14" t="n">
        <f aca="false">Summary!$B$22-(Costs!$E$36-Summary!$B$13+D$4+Costs!$E$46+$A8*Summary!$B$34)</f>
        <v>26678.75</v>
      </c>
    </row>
    <row r="9" customFormat="false" ht="15" hidden="false" customHeight="false" outlineLevel="0" collapsed="false">
      <c r="A9" s="36" t="n">
        <v>24</v>
      </c>
      <c r="B9" s="15" t="n">
        <f aca="false">IF(Summary!$B$22=0,0,F9/Summary!$B$22)</f>
        <v>0.064189127578442</v>
      </c>
      <c r="C9" s="15" t="n">
        <f aca="false">IF(Summary!$B$22=0,0,G9/Summary!$B$22)</f>
        <v>0.055504946075575</v>
      </c>
      <c r="D9" s="15" t="n">
        <f aca="false">IF(Summary!$B$22=0,0,H9/Summary!$B$22)</f>
        <v>0.0468207645727079</v>
      </c>
      <c r="F9" s="14" t="n">
        <f aca="false">Summary!$B$22-(Costs!$E$36-Summary!$B$13+B$4+Costs!$E$46+$A9*Summary!$B$34)</f>
        <v>18478.75</v>
      </c>
      <c r="G9" s="14" t="n">
        <f aca="false">Summary!$B$22-(Costs!$E$36-Summary!$B$13+C$4+Costs!$E$46+$A9*Summary!$B$34)</f>
        <v>15978.75</v>
      </c>
      <c r="H9" s="14" t="n">
        <f aca="false">Summary!$B$22-(Costs!$E$36-Summary!$B$13+D$4+Costs!$E$46+$A9*Summary!$B$34)</f>
        <v>13478.75</v>
      </c>
    </row>
    <row r="10" customFormat="false" ht="15" hidden="false" customHeight="false" outlineLevel="0" collapsed="false">
      <c r="A10" s="36" t="n">
        <v>28</v>
      </c>
      <c r="B10" s="15" t="n">
        <f aca="false">IF(Summary!$B$22=0,0,F10/Summary!$B$22)</f>
        <v>0.0183366492433038</v>
      </c>
      <c r="C10" s="15" t="n">
        <f aca="false">IF(Summary!$B$22=0,0,G10/Summary!$B$22)</f>
        <v>0.00965246774043676</v>
      </c>
      <c r="D10" s="15" t="n">
        <f aca="false">IF(Summary!$B$22=0,0,H10/Summary!$B$22)</f>
        <v>0.00096828623756968</v>
      </c>
      <c r="F10" s="14" t="n">
        <f aca="false">Summary!$B$22-(Costs!$E$36-Summary!$B$13+B$4+Costs!$E$46+$A10*Summary!$B$34)</f>
        <v>5278.75</v>
      </c>
      <c r="G10" s="14" t="n">
        <f aca="false">Summary!$B$22-(Costs!$E$36-Summary!$B$13+C$4+Costs!$E$46+$A10*Summary!$B$34)</f>
        <v>2778.75</v>
      </c>
      <c r="H10" s="14" t="n">
        <f aca="false">Summary!$B$22-(Costs!$E$36-Summary!$B$13+D$4+Costs!$E$46+$A10*Summary!$B$34)</f>
        <v>278.75</v>
      </c>
    </row>
    <row r="11" customFormat="false" ht="15" hidden="false" customHeight="false" outlineLevel="0" collapsed="false">
      <c r="A11" s="36" t="n">
        <v>32</v>
      </c>
      <c r="B11" s="15" t="n">
        <f aca="false">IF(Summary!$B$22=0,0,F11/Summary!$B$22)</f>
        <v>-0.0275158290918344</v>
      </c>
      <c r="C11" s="15" t="n">
        <f aca="false">IF(Summary!$B$22=0,0,G11/Summary!$B$22)</f>
        <v>-0.0362000105947014</v>
      </c>
      <c r="D11" s="15" t="n">
        <f aca="false">IF(Summary!$B$22=0,0,H11/Summary!$B$22)</f>
        <v>-0.0448841920975685</v>
      </c>
      <c r="F11" s="14" t="n">
        <f aca="false">Summary!$B$22-(Costs!$E$36-Summary!$B$13+B$4+Costs!$E$46+$A11*Summary!$B$34)</f>
        <v>-7921.25</v>
      </c>
      <c r="G11" s="14" t="n">
        <f aca="false">Summary!$B$22-(Costs!$E$36-Summary!$B$13+C$4+Costs!$E$46+$A11*Summary!$B$34)</f>
        <v>-10421.25</v>
      </c>
      <c r="H11" s="14" t="n">
        <f aca="false">Summary!$B$22-(Costs!$E$36-Summary!$B$13+D$4+Costs!$E$46+$A11*Summary!$B$34)</f>
        <v>-12921.25</v>
      </c>
    </row>
    <row r="13" customFormat="false" ht="15" hidden="false" customHeight="false" outlineLevel="0" collapsed="false">
      <c r="A13" s="2" t="s">
        <v>261</v>
      </c>
    </row>
  </sheetData>
  <conditionalFormatting sqref="B6:D11">
    <cfRule type="cellIs" priority="2" operator="lessThan" aboveAverage="0" equalAverage="0" bottom="0" percent="0" rank="0" text="" dxfId="0">
      <formula>0.1</formula>
    </cfRule>
    <cfRule type="cellIs" priority="3" operator="greaterThanOrEqual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2026-10-16T13:55:36Z</dcterms:created>
  <dc:creator>openpyxl</dc:creator>
  <dc:description/>
  <dc:language>en-US</dc:language>
  <cp:lastModifiedBy/>
  <dcterms:modified xsi:type="dcterms:W3CDTF">2026-10-16T13:55:36Z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