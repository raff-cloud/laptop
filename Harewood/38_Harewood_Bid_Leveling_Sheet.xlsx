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id Leveling" sheetId="2" state="visible" r:id="rId4"/>
    <sheet name="FV Scope Build-up" sheetId="3" state="visible" r:id="rId5"/>
    <sheet name="Option B Bids (Excluded)" sheetId="4" state="visible" r:id="rId6"/>
    <sheet name="Flags &amp; Next Steps" sheetId="5" state="visible" r:id="rId7"/>
  </sheets>
  <definedNames>
    <definedName function="false" hidden="false" name="BEAM_CAR" vbProcedure="false">'Bid Leveling'!$J$66</definedName>
    <definedName function="false" hidden="false" name="BEAM_INT" vbProcedure="false">'Bid Leveling'!$F$66</definedName>
    <definedName function="false" hidden="false" name="EXT_CAR" vbProcedure="false">'Bid Leveling'!$J$36</definedName>
    <definedName function="false" hidden="false" name="EXT_INT" vbProcedure="false">'Bid Leveling'!$F$36</definedName>
    <definedName function="false" hidden="false" name="FIN_CAR" vbProcedure="false">'Bid Leveling'!$J$57</definedName>
    <definedName function="false" hidden="false" name="FIN_INT" vbProcedure="false">'Bid Leveling'!$F$57</definedName>
    <definedName function="false" hidden="false" name="FVBUILD" vbProcedure="false">'FV Scope Build-up'!$F$18</definedName>
    <definedName function="false" hidden="false" name="GEN_CAR" vbProcedure="false">'Bid Leveling'!$J$18</definedName>
    <definedName function="false" hidden="false" name="GEN_INT" vbProcedure="false">'Bid Leveling'!$F$18</definedName>
    <definedName function="false" hidden="false" name="GRANDCAR" vbProcedure="false">'Bid Leveling'!$J$68</definedName>
    <definedName function="false" hidden="false" name="LOWBID_TOTAL" vbProcedure="false">'Bid Leveling'!$W$68</definedName>
    <definedName function="false" hidden="false" name="MARGIN" vbProcedure="false">Summary!$B$6</definedName>
    <definedName function="false" hidden="false" name="MECH_CAR" vbProcedure="false">'Bid Leveling'!$J$43</definedName>
    <definedName function="false" hidden="false" name="MECH_INT" vbProcedure="false">'Bid Leveling'!$F$43</definedName>
    <definedName function="false" hidden="false" name="PORCH_CAR" vbProcedure="false">'Bid Leveling'!$J$24</definedName>
    <definedName function="false" hidden="false" name="PORCH_INT" vbProcedure="false">'Bid Leveling'!$F$24</definedName>
    <definedName function="false" hidden="false" name="STRUCT_CAR" vbProcedure="false">'Bid Leveling'!$J$29</definedName>
    <definedName function="false" hidden="false" name="STRUCT_INT" vbProcedure="false">'Bid Leveling'!$F$29</definedName>
    <definedName function="false" hidden="false" name="TIME_INT" vbProcedure="false">'Bid Leveling'!$J$15:$J$17</definedName>
    <definedName function="false" hidden="false" name="TRADES_CAR" vbProcedure="false">'Bid Leveling'!$J$47</definedName>
    <definedName function="false" hidden="false" name="TRADES_INT" vbProcedure="false">'Bid Leveling'!$F$47</definedName>
    <definedName function="false" hidden="false" name="WEEKS" vbProcedure="false">Summary!$B$7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<sst xmlns="http://schemas.openxmlformats.org/spreadsheetml/2006/main" count="342" uniqueCount="277">
  <si>
    <t xml:space="preserve">38 Harewood Ave: Bid Leveling Summary</t>
  </si>
  <si>
    <t xml:space="preserve">Julianne &amp; David Lee · Second-floor addition + bathroom + front porch + main-floor beam/posts · INTERNAL, DO NOT SEND · Blue = input · Prepared Oct 21, 2026</t>
  </si>
  <si>
    <t xml:space="preserve">INPUTS</t>
  </si>
  <si>
    <t xml:space="preserve">Input</t>
  </si>
  <si>
    <t xml:space="preserve">Value</t>
  </si>
  <si>
    <t xml:space="preserve">Source / note</t>
  </si>
  <si>
    <t xml:space="preserve">Target margin (profit ÷ selling price)</t>
  </si>
  <si>
    <t xml:space="preserve">Per Raff: 40%. Matches JobTread budget convention (price = cost ÷ 0.60).</t>
  </si>
  <si>
    <t xml:space="preserve">Construction duration (weeks)</t>
  </si>
  <si>
    <t xml:space="preserve">Per Raff: ~6 months. Drives PM, site labour and overhead lines.</t>
  </si>
  <si>
    <t xml:space="preserve">Option A contract price (pre-HST)</t>
  </si>
  <si>
    <t xml:space="preserve">Joist 110-351 Rev 1 (Sep 18, 2026): Section 2.0 $269,754.25 + service fee $1,625.50.</t>
  </si>
  <si>
    <t xml:space="preserve">Beam &amp; posts price (pre-HST)</t>
  </si>
  <si>
    <t xml:space="preserve">Recommended price, not yet sent to client (promised after Oct 16 visit).</t>
  </si>
  <si>
    <t xml:space="preserve">HST rate</t>
  </si>
  <si>
    <t xml:space="preserve">Ontario HST.</t>
  </si>
  <si>
    <t xml:space="preserve">COST ROLL-UP (from Bid Leveling tab)</t>
  </si>
  <si>
    <t xml:space="preserve">Line</t>
  </si>
  <si>
    <t xml:space="preserve">Internal-rate cost</t>
  </si>
  <si>
    <t xml:space="preserve">Carried cost</t>
  </si>
  <si>
    <t xml:space="preserve">Note</t>
  </si>
  <si>
    <t xml:space="preserve">General requirements &amp; site</t>
  </si>
  <si>
    <t xml:space="preserve">Porch</t>
  </si>
  <si>
    <t xml:space="preserve">Structure (lumber + framing)</t>
  </si>
  <si>
    <t xml:space="preserve">Exterior envelope</t>
  </si>
  <si>
    <t xml:space="preserve">Mechanical &amp; electrical</t>
  </si>
  <si>
    <t xml:space="preserve">General trades bulk scope (FV)</t>
  </si>
  <si>
    <t xml:space="preserve">Finishes &amp; stairs</t>
  </si>
  <si>
    <t xml:space="preserve">Main-floor beam &amp; posts</t>
  </si>
  <si>
    <t xml:space="preserve">TOTAL COST (all-in: trades, materials, PM, site labour, overhead)</t>
  </si>
  <si>
    <t xml:space="preserve">Carried = selected bid, or internal unit rate where no bid was received.</t>
  </si>
  <si>
    <t xml:space="preserve">  of which time-based (PM + site labour + overhead)</t>
  </si>
  <si>
    <t xml:space="preserve">  Hard costs only (excl. time-based)</t>
  </si>
  <si>
    <t xml:space="preserve">PRICING CHECK vs 40% TARGET</t>
  </si>
  <si>
    <t xml:space="preserve">Amount</t>
  </si>
  <si>
    <t xml:space="preserve">Margin</t>
  </si>
  <si>
    <t xml:space="preserve">Current contract price (Option A + beam, pre-HST)</t>
  </si>
  <si>
    <t xml:space="preserve">What the Lees have been quoted (beam not yet sent).</t>
  </si>
  <si>
    <t xml:space="preserve">Net profit at current price (all-in carried cost)</t>
  </si>
  <si>
    <t xml:space="preserve">Margin column = profit ÷ price.</t>
  </si>
  <si>
    <t xml:space="preserve">Price needed for target margin, all-in cost</t>
  </si>
  <si>
    <t xml:space="preserve">Cost ÷ (1 − margin). PM, labour and overhead included.</t>
  </si>
  <si>
    <t xml:space="preserve">Gap vs current price</t>
  </si>
  <si>
    <t xml:space="preserve">Positive = price needs to go up by this much.</t>
  </si>
  <si>
    <t xml:space="preserve">Price at 40% MARKUP on all-in cost (cost × 1.40)</t>
  </si>
  <si>
    <t xml:space="preserve">If '40% on top of cost' means markup, this is the price (28.6% margin).</t>
  </si>
  <si>
    <t xml:space="preserve">Gap vs current price (markup method)</t>
  </si>
  <si>
    <t xml:space="preserve">Price needed for target margin, hard costs only</t>
  </si>
  <si>
    <t xml:space="preserve">JobTread-style: 40% margin on trade/material cost; PM/OH absorbed inside the margin.</t>
  </si>
  <si>
    <t xml:space="preserve">Gap vs current price (hard-cost method)</t>
  </si>
  <si>
    <t xml:space="preserve">Margin left after PM/labour/OH at hard-cost price</t>
  </si>
  <si>
    <t xml:space="preserve">What 40% on hard cost actually nets once time-based costs come out.</t>
  </si>
  <si>
    <t xml:space="preserve">Low-bid scenario: total carried if every bid line takes the lowest bid</t>
  </si>
  <si>
    <t xml:space="preserve">Margin column = margin at current price using all low bids.</t>
  </si>
  <si>
    <t xml:space="preserve">38 Harewood Ave: Bid Leveling Sheet</t>
  </si>
  <si>
    <t xml:space="preserve">Project Address: 38 Harewood Ave, Scarborough, ON M1M 2R2  ·  Client: Julianne &amp; David Lee  ·  Floor area (2nd-floor addition): ~693 sq ft + porch ~85 sq ft</t>
  </si>
  <si>
    <t xml:space="preserve">Carried cost = Override (blue) if entered, else lowest bid received, else internal rate × qty. Bids = JobTread job #6 bid requests. Internal rates = 38 Harewood INTERNAL ESTIMATE / PalmView Cost Index (Manning tender package). PalmView Final Cost = carried ÷ (1 − target margin).</t>
  </si>
  <si>
    <t xml:space="preserve">#</t>
  </si>
  <si>
    <t xml:space="preserve">Description (Scope)</t>
  </si>
  <si>
    <t xml:space="preserve">Internal PalmView Unit Rate</t>
  </si>
  <si>
    <t xml:space="preserve">Total Units</t>
  </si>
  <si>
    <t xml:space="preserve">Unit of Measure</t>
  </si>
  <si>
    <t xml:space="preserve">Cost based on internal rates</t>
  </si>
  <si>
    <t xml:space="preserve">% of project (carried)</t>
  </si>
  <si>
    <t xml:space="preserve">PalmView Final Cost (sell)</t>
  </si>
  <si>
    <t xml:space="preserve">Take Rate (profit $)</t>
  </si>
  <si>
    <t xml:space="preserve">Carried Subtrade Cost</t>
  </si>
  <si>
    <t xml:space="preserve">Basis</t>
  </si>
  <si>
    <t xml:space="preserve">Override (carry this)</t>
  </si>
  <si>
    <t xml:space="preserve">Lowest bid</t>
  </si>
  <si>
    <t xml:space="preserve">Bidder 1 (Name)</t>
  </si>
  <si>
    <t xml:space="preserve">Bidder 1 Quote</t>
  </si>
  <si>
    <t xml:space="preserve">Bidder 2 (Name)</t>
  </si>
  <si>
    <t xml:space="preserve">Bidder 2 Quote</t>
  </si>
  <si>
    <t xml:space="preserve">Bidder 3 (Name)</t>
  </si>
  <si>
    <t xml:space="preserve">Bidder 3 Quote</t>
  </si>
  <si>
    <t xml:space="preserve">Bidder 4 (Name)</t>
  </si>
  <si>
    <t xml:space="preserve">Bidder 4 Quote</t>
  </si>
  <si>
    <t xml:space="preserve">Notes / scope gaps</t>
  </si>
  <si>
    <t xml:space="preserve">Low-bid scenario cost</t>
  </si>
  <si>
    <t xml:space="preserve">Carried vs internal (+ = over)</t>
  </si>
  <si>
    <t xml:space="preserve">GENERAL REQUIREMENTS &amp; SITE</t>
  </si>
  <si>
    <t xml:space="preserve">Temporary hoarding &amp; safety fences</t>
  </si>
  <si>
    <t xml:space="preserve">Lump Sum</t>
  </si>
  <si>
    <t xml:space="preserve">Internal estimate.</t>
  </si>
  <si>
    <t xml:space="preserve">Temporary toilet &amp; temporary hydro</t>
  </si>
  <si>
    <t xml:space="preserve">Internal estimate. Index: toilet $250/mo.</t>
  </si>
  <si>
    <t xml:space="preserve">Misc. supplies, materials &amp; garbage</t>
  </si>
  <si>
    <t xml:space="preserve">FV bid includes the disposal bin.</t>
  </si>
  <si>
    <t xml:space="preserve">Safety supplies &amp; 3rd-party inspections</t>
  </si>
  <si>
    <t xml:space="preserve">Scaffold rental (2nd-floor exterior)</t>
  </si>
  <si>
    <t xml:space="preserve">Months</t>
  </si>
  <si>
    <t xml:space="preserve">Cost Index rate (Manning). No quote yet: get rental quote.</t>
  </si>
  <si>
    <t xml:space="preserve">Weather protection while roof is off (tarps, temp roof)</t>
  </si>
  <si>
    <t xml:space="preserve">Manning used $1,200 for a smaller roof.</t>
  </si>
  <si>
    <t xml:space="preserve">Engineer field reviews (piers, framing per S1.01)</t>
  </si>
  <si>
    <t xml:space="preserve">Allowance.</t>
  </si>
  <si>
    <t xml:space="preserve">Final clean, deficiencies, final inspections</t>
  </si>
  <si>
    <t xml:space="preserve">Internal estimate (scaled).</t>
  </si>
  <si>
    <t xml:space="preserve">Site supervision &amp; project manager</t>
  </si>
  <si>
    <t xml:space="preserve">Weeks</t>
  </si>
  <si>
    <t xml:space="preserve">Sean's budget rate × duration (Summary).</t>
  </si>
  <si>
    <t xml:space="preserve">Site labour</t>
  </si>
  <si>
    <t xml:space="preserve">Sean's budget rate × duration.</t>
  </si>
  <si>
    <t xml:space="preserve">Company overhead (insurance, WSIB, office, vehicles)</t>
  </si>
  <si>
    <t xml:space="preserve">Per Raff: ~$1,000/week.</t>
  </si>
  <si>
    <t xml:space="preserve">SUBTOTAL: GENERAL REQUIREMENTS &amp; SITE</t>
  </si>
  <si>
    <t xml:space="preserve">FRONT COVERED PORCH</t>
  </si>
  <si>
    <t xml:space="preserve">Concrete piers, 10" dia, min. 48" below grade (F1)</t>
  </si>
  <si>
    <t xml:space="preserve">Each</t>
  </si>
  <si>
    <t xml:space="preserve">MBS Contracting (pending)</t>
  </si>
  <si>
    <t xml:space="preserve">Windmill Group (pending)</t>
  </si>
  <si>
    <t xml:space="preserve">Msix Contractors (pending)</t>
  </si>
  <si>
    <t xml:space="preserve">All 3 bids still pending in JobTread. Raff's number $2,000. Drawings show 3 piers; bid scope says 4: confirm.</t>
  </si>
  <si>
    <t xml:space="preserve">PT framing, decking &amp; railing material (~85 SF deck, 30 LF rail)</t>
  </si>
  <si>
    <t xml:space="preserve">Square Foot</t>
  </si>
  <si>
    <t xml:space="preserve">Framer bids are labour only. Allowance ≈ $3,500.</t>
  </si>
  <si>
    <t xml:space="preserve">T&amp;G porch ceiling (1x6 pine)</t>
  </si>
  <si>
    <t xml:space="preserve">Upsell: stained cedar.</t>
  </si>
  <si>
    <t xml:space="preserve">SUBTOTAL: FRONT COVERED PORCH</t>
  </si>
  <si>
    <t xml:space="preserve">STRUCTURE</t>
  </si>
  <si>
    <t xml:space="preserve">Lumber package: framing lumber, LVLs (FB2/RB2/L1–L4), sheathing, hangers</t>
  </si>
  <si>
    <t xml:space="preserve">RONA</t>
  </si>
  <si>
    <t xml:space="preserve">KOTT</t>
  </si>
  <si>
    <t xml:space="preserve">Central Fairbank (pending)</t>
  </si>
  <si>
    <t xml:space="preserve">Carrying KOTT (as in margin model). RONA is $1,057 lower: confirm both priced the same takeoff before award. Lumber volatile: re-quote before PO.</t>
  </si>
  <si>
    <t xml:space="preserve">Framing labour: shoring, porch, 2nd floor, roof, beam install, sheathing</t>
  </si>
  <si>
    <t xml:space="preserve">Aryan</t>
  </si>
  <si>
    <t xml:space="preserve">Bogdan</t>
  </si>
  <si>
    <t xml:space="preserve">Built By BC</t>
  </si>
  <si>
    <t xml:space="preserve">All three bids include main-floor LVL beam install + partitions (Option B). Ask for A + beam-only price; partitions come out. Aryan is $500 below BC.</t>
  </si>
  <si>
    <t xml:space="preserve">SUBTOTAL: STRUCTURE</t>
  </si>
  <si>
    <t xml:space="preserve">EXTERIOR ENVELOPE</t>
  </si>
  <si>
    <t xml:space="preserve">Roofing: IKO Cambridge 6:12, 2nd floor (~950 SF) + porch (~150 SF), vents, flashing</t>
  </si>
  <si>
    <t xml:space="preserve">Infinity Gutters</t>
  </si>
  <si>
    <t xml:space="preserve">CA Roofing</t>
  </si>
  <si>
    <t xml:space="preserve">C A Roofing (2nd quote)</t>
  </si>
  <si>
    <t xml:space="preserve">Alps Roofing</t>
  </si>
  <si>
    <t xml:space="preserve">CA Roofing $3,800 is $2,375 below carried. Two CA quotes on file ($3,800 / $5,500): confirm which is current and that ventilation + flashing are in.</t>
  </si>
  <si>
    <t xml:space="preserve">Aluminum: eaves, downspouts, soffit, fascia, window capping, flashing band at brick</t>
  </si>
  <si>
    <t xml:space="preserve">Internal = soffit/fascia $5,800 + flashing band $3,600. CA $3,800 is $4,525 lower: confirm it includes the flashing band per Sections AA/BB.</t>
  </si>
  <si>
    <t xml:space="preserve">Wrap, 1" R5 rigid, Kaycan aluminum siding (~800 SF), Maibec gables, brackets, lattice</t>
  </si>
  <si>
    <t xml:space="preserve">CA Roofing (declined)</t>
  </si>
  <si>
    <t xml:space="preserve">Only one live bid: $7,400 OVER internal. Internal = wrap $5,000 + siding 850 SF × $16 + rigid 950 SF × $4 + Maibec 200 SF × $26 + brackets/lattice ~$1,000. Get 2 more siding bids.</t>
  </si>
  <si>
    <t xml:space="preserve">Windows: 6 units white vinyl casement/fixed, supply &amp; install</t>
  </si>
  <si>
    <t xml:space="preserve">JS Windows and Doors</t>
  </si>
  <si>
    <t xml:space="preserve">Welda Windows</t>
  </si>
  <si>
    <t xml:space="preserve">Index $90/SF supply + $20 install. Welda $324 lower. Joist also lists windows as finish material (excluded): fix wording.</t>
  </si>
  <si>
    <t xml:space="preserve">SUBTOTAL: EXTERIOR ENVELOPE</t>
  </si>
  <si>
    <t xml:space="preserve">MECHANICAL &amp; ELECTRICAL</t>
  </si>
  <si>
    <t xml:space="preserve">HVAC: 2nd floor risers/trunks/diffusers, basement &amp; main-floor changes, bath fan</t>
  </si>
  <si>
    <t xml:space="preserve">MiTech HVAC</t>
  </si>
  <si>
    <t xml:space="preserve">Ideal Heating</t>
  </si>
  <si>
    <t xml:space="preserve">Sentral HVAC</t>
  </si>
  <si>
    <t xml:space="preserve">Low = MiTech. Bids include main-floor diffuser relocation (Option B): ask for A-only credit. MiTech also quoted Manning: same crew.</t>
  </si>
  <si>
    <t xml:space="preserve">200A service: mast, meter base, panel, Toronto Hydro, ESA</t>
  </si>
  <si>
    <t xml:space="preserve">FV Renovations</t>
  </si>
  <si>
    <t xml:space="preserve">Renomar (included, $0)</t>
  </si>
  <si>
    <t xml:space="preserve">Existing panel is 100A (S1.01). Not on drawings: confirm client understands it is in scope.</t>
  </si>
  <si>
    <t xml:space="preserve">Furnace / water heater re-vent (chimney removed)</t>
  </si>
  <si>
    <t xml:space="preserve">Allowance. HWT likely vents in chimney; may need direct-vent replacement (rental?).</t>
  </si>
  <si>
    <t xml:space="preserve">Attic R60 blown-in + baffles</t>
  </si>
  <si>
    <t xml:space="preserve">FoamIt</t>
  </si>
  <si>
    <t xml:space="preserve">Wall batts are in FV's scope.</t>
  </si>
  <si>
    <t xml:space="preserve">SUBTOTAL: MECHANICAL &amp; ELECTRICAL</t>
  </si>
  <si>
    <t xml:space="preserve">GENERAL TRADES BULK SCOPE (FV-style package)</t>
  </si>
  <si>
    <t xml:space="preserve">Demo, plumbing, electrical, wall insulation, drywall L4, prime, carpentry, full 2nd-floor bathroom (A only)</t>
  </si>
  <si>
    <t xml:space="preserve">FV Renovations (A+B)</t>
  </si>
  <si>
    <t xml:space="preserve">Renomar Inc (A+B)</t>
  </si>
  <si>
    <t xml:space="preserve">Both bids cover A + main floor (Option B). Carrying Raff's A-only number $37,500 (range $35K–$40K). Get FV's written A-only price. Internal build-up on 'FV Scope Build-up' tab.</t>
  </si>
  <si>
    <t xml:space="preserve">SUBTOTAL: GENERAL TRADES BULK SCOPE (FV-style package)</t>
  </si>
  <si>
    <t xml:space="preserve">FINISHES &amp; STAIRS</t>
  </si>
  <si>
    <t xml:space="preserve">Bathroom waterproofing &amp; tile setting materials</t>
  </si>
  <si>
    <t xml:space="preserve">Tile is client-supplied.</t>
  </si>
  <si>
    <t xml:space="preserve">Quartz shower curb jamb</t>
  </si>
  <si>
    <t xml:space="preserve">Legendary $850 quote is the main-floor countertop (Option B), not this.</t>
  </si>
  <si>
    <t xml:space="preserve">Engineered hardwood install, 2nd floor (client-supplied)</t>
  </si>
  <si>
    <t xml:space="preserve">Reno Factory (pro-rated)</t>
  </si>
  <si>
    <t xml:space="preserve">Reno Factory bid $3,000 for 800 SF both floors = $3.75/SF; 600 SF A-only = $2,250.</t>
  </si>
  <si>
    <t xml:space="preserve">Stair capping: treads, risers, oak stringer caps, posts, rail, pickets (S&amp;I)</t>
  </si>
  <si>
    <t xml:space="preserve">Per Raff $5,000. No bid yet: tender it.</t>
  </si>
  <si>
    <t xml:space="preserve">Stair stain &amp; varnish (one-tone)</t>
  </si>
  <si>
    <t xml:space="preserve">Reno Factory</t>
  </si>
  <si>
    <t xml:space="preserve">⚠ Scope conflict: Sep 4 text says 'finishing existing stairs' included; Sep 7 email says 'removed stair finishing'. Confirm before carrying.</t>
  </si>
  <si>
    <t xml:space="preserve">Aria vents (tiled)</t>
  </si>
  <si>
    <t xml:space="preserve">Closet install: 2 IKEA PAX (client-supplied)</t>
  </si>
  <si>
    <t xml:space="preserve">SUBTOTAL: FINISHES &amp; STAIRS</t>
  </si>
  <si>
    <t xml:space="preserve">MAIN-FLOOR BEAM &amp; POSTS (LVL + framing labour already in lumber/framing bids)</t>
  </si>
  <si>
    <t xml:space="preserve">Selective demo of bearing wall section + disposal</t>
  </si>
  <si>
    <t xml:space="preserve">Basement footing pads + posts</t>
  </si>
  <si>
    <t xml:space="preserve">Drawings (A3.01) show posts on solid blocking to foundation wall: likely $0. Keep until site-verified.</t>
  </si>
  <si>
    <t xml:space="preserve">Electrical relocation out of wall</t>
  </si>
  <si>
    <t xml:space="preserve">Drywall close-in &amp; beam wrap, Level 4, primed</t>
  </si>
  <si>
    <t xml:space="preserve">Floor patch at old wall line</t>
  </si>
  <si>
    <t xml:space="preserve">Engineer review</t>
  </si>
  <si>
    <t xml:space="preserve">SUBTOTAL: MAIN-FLOOR BEAM &amp; POSTS (LVL + framing labour already in lumber/framing bids)</t>
  </si>
  <si>
    <t xml:space="preserve">GRAND TOTAL (all-in cost and sell at target margin)</t>
  </si>
  <si>
    <t xml:space="preserve">General Trades Bulk Scope: internal unit-rate build-up (2nd floor + porch + bathroom only)</t>
  </si>
  <si>
    <t xml:space="preserve">Benchmarks the FV / Renomar packages. Rates: PalmView Cost Index (Manning tender) and 38 Harewood internal estimate.</t>
  </si>
  <si>
    <t xml:space="preserve">Scope item</t>
  </si>
  <si>
    <t xml:space="preserve">Unit rate</t>
  </si>
  <si>
    <t xml:space="preserve">Qty</t>
  </si>
  <si>
    <t xml:space="preserve">Unit</t>
  </si>
  <si>
    <t xml:space="preserve">Cost</t>
  </si>
  <si>
    <t xml:space="preserve">Rate source / note</t>
  </si>
  <si>
    <t xml:space="preserve">Demo: roof, 2nd-floor knee walls, chimney to roof level, porch + stairs, load-out</t>
  </si>
  <si>
    <t xml:space="preserve">Index $14/SF was a 3rd-floor roof strip (Manning); ground-level access here.</t>
  </si>
  <si>
    <t xml:space="preserve">Protection: floors, stairs, dust walls</t>
  </si>
  <si>
    <t xml:space="preserve">Index: floor $3.50/SF + stairs $1,800 (Manning).</t>
  </si>
  <si>
    <t xml:space="preserve">Plumbing rough-in + finish: new 2nd-floor bath, tie to stack</t>
  </si>
  <si>
    <t xml:space="preserve">Electrical rough-in + finish, 2nd floor (5 pots, ~20 outlets, fan, smoke/CO, bath)</t>
  </si>
  <si>
    <t xml:space="preserve">Internal estimate (2nd-floor share of $11,500).</t>
  </si>
  <si>
    <t xml:space="preserve">Batt insulation (R22 mineral wool) + 6-mil VB, exterior walls</t>
  </si>
  <si>
    <t xml:space="preserve">Index $6.50/SF net wall.</t>
  </si>
  <si>
    <t xml:space="preserve">Drywall: board, tape, plaster, sand to L4 (incl. waterproof board at shower)</t>
  </si>
  <si>
    <t xml:space="preserve">Index $14/SF of floor area.</t>
  </si>
  <si>
    <t xml:space="preserve">Prime all new drywall (no finish coat, per Sep 7 email)</t>
  </si>
  <si>
    <t xml:space="preserve">Index $1.50/SF.</t>
  </si>
  <si>
    <t xml:space="preserve">Baseboard + casing material (MDF)</t>
  </si>
  <si>
    <t xml:space="preserve">Linear Feet</t>
  </si>
  <si>
    <t xml:space="preserve">Index $3.50/LF.</t>
  </si>
  <si>
    <t xml:space="preserve">Finish carpentry labour: base, casing, 5 doors, attic hatch, towel shelves</t>
  </si>
  <si>
    <t xml:space="preserve">Hours</t>
  </si>
  <si>
    <t xml:space="preserve">Index $85/hr.</t>
  </si>
  <si>
    <t xml:space="preserve">Bathroom: niche, curb, shower base, waterproofing labour</t>
  </si>
  <si>
    <t xml:space="preserve">Bathroom tile install (~270 SF, client tile)</t>
  </si>
  <si>
    <t xml:space="preserve">Internal $4,500 ÷ 270 SF.</t>
  </si>
  <si>
    <t xml:space="preserve">Bathroom fixtures, vanity, accessories, mirror install</t>
  </si>
  <si>
    <t xml:space="preserve">Silicone, touch-ups, basic clean, debris removal</t>
  </si>
  <si>
    <t xml:space="preserve">Index (Manning).</t>
  </si>
  <si>
    <t xml:space="preserve">INTERNAL BUILD-UP TOTAL (A only)</t>
  </si>
  <si>
    <t xml:space="preserve">FV Renovations bid (A + main floor B)</t>
  </si>
  <si>
    <t xml:space="preserve">Renomar Inc bid (A + main floor B)</t>
  </si>
  <si>
    <t xml:space="preserve">Raff's FV A-only estimate (carried)</t>
  </si>
  <si>
    <t xml:space="preserve">Carried vs internal build-up (negative = FV below our rates)</t>
  </si>
  <si>
    <t xml:space="preserve">Bids received for main-floor work (Option B): NOT carried in this phase</t>
  </si>
  <si>
    <t xml:space="preserve">Scope</t>
  </si>
  <si>
    <t xml:space="preserve">Bidder</t>
  </si>
  <si>
    <t xml:space="preserve">Quote</t>
  </si>
  <si>
    <t xml:space="preserve">Kitchen reface + pantry/base/island/bench cabinetry</t>
  </si>
  <si>
    <t xml:space="preserve">Eureka Kitchen and Bath</t>
  </si>
  <si>
    <t xml:space="preserve">Supply + install, delivery incl. Hold for Option B price lock.</t>
  </si>
  <si>
    <t xml:space="preserve">Quartz countertop ~12 SF (Lucent mid-tier)</t>
  </si>
  <si>
    <t xml:space="preserve">Legendary Countertops</t>
  </si>
  <si>
    <t xml:space="preserve">Main-floor island.</t>
  </si>
  <si>
    <t xml:space="preserve">Main-floor demo, partitions, LVL beams, pot lights, drywall, paint</t>
  </si>
  <si>
    <t xml:space="preserve">In FV / Renomar / framer bids</t>
  </si>
  <si>
    <t xml:space="preserve">Main-floor share of FV $78,000 est. ~$16K; ask each bidder to split A vs B.</t>
  </si>
  <si>
    <t xml:space="preserve">Main-floor flooring install (~600 SF)</t>
  </si>
  <si>
    <t xml:space="preserve">Balance of $3,000 bid (800 SF × $3.75) not used for A.</t>
  </si>
  <si>
    <t xml:space="preserve">Bid gaps, scope conflicts and actions before award</t>
  </si>
  <si>
    <t xml:space="preserve">Item</t>
  </si>
  <si>
    <t xml:space="preserve">Action</t>
  </si>
  <si>
    <t xml:space="preserve">Siding / envelope: one live bid only</t>
  </si>
  <si>
    <t xml:space="preserve">Infinity $36,000 vs internal $28,600 (+$7,400). Send to 2 more siding subs (same scope as Bid Request #10).</t>
  </si>
  <si>
    <t xml:space="preserve">Porch piers: no prices back</t>
  </si>
  <si>
    <t xml:space="preserve">MBS, Windmill, Msix all pending. Chase this week; Raff number $2,000 carried via internal rate.</t>
  </si>
  <si>
    <t xml:space="preserve">Lumber: Central Fairbank pending</t>
  </si>
  <si>
    <t xml:space="preserve">Confirm RONA vs KOTT priced the same takeoff; RONA $1,057 lower. Re-quote before PO (lumber volatile).</t>
  </si>
  <si>
    <t xml:space="preserve">Framing bids include Option B</t>
  </si>
  <si>
    <t xml:space="preserve">Ask Aryan / BC for A + beam-only price (main-floor partitions + joist reinforcement come out). Aryan $500 below BC.</t>
  </si>
  <si>
    <t xml:space="preserve">General trades bids are A+B</t>
  </si>
  <si>
    <t xml:space="preserve">FV $78K and Renomar $109.5K include the main floor. Get written A-only prices; $37,500 carried per Raff.</t>
  </si>
  <si>
    <t xml:space="preserve">HVAC bids include main-floor diffuser moves</t>
  </si>
  <si>
    <t xml:space="preserve">Ask MiTech for A-only credit (diffuser 7 + low-wall relocations).</t>
  </si>
  <si>
    <t xml:space="preserve">Roofing / aluminum low bids (CA Roofing)</t>
  </si>
  <si>
    <t xml:space="preserve">CA $3,800 roofing and $3,800 aluminum are well below carried. Confirm scope parity (vents, flashing band) then decide. Potential saving ≈ $6,900.</t>
  </si>
  <si>
    <t xml:space="preserve">Stair finishing conflict</t>
  </si>
  <si>
    <t xml:space="preserve">Sep 4 text: finishing included. Sep 7 email: stair finishing removed. Joist: included. Decide, then align Joist + carried cost.</t>
  </si>
  <si>
    <t xml:space="preserve">Bathroom: shower-only vs tub</t>
  </si>
  <si>
    <t xml:space="preserve">Sep 7 email says shower-only; Joist still lists drop-in tub/deck. Clean up Joist.</t>
  </si>
  <si>
    <t xml:space="preserve">Beam footings</t>
  </si>
  <si>
    <t xml:space="preserve">A3.01 shows posts on blocking to foundation wall: $3,000 allowance likely drops to $0 once verified.</t>
  </si>
  <si>
    <t xml:space="preserve">Water heater / chimney</t>
  </si>
  <si>
    <t xml:space="preserve">Confirm what vents in the chimney; allowance $2,000 may not cover a direct-vent HWT if owned (not rental).</t>
  </si>
  <si>
    <t xml:space="preserve">Pricing vs 40% target</t>
  </si>
  <si>
    <t xml:space="preserve">See Summary: current price is far below a 40% margin once PM, labour and overhead are included. Decide the margin basis before re-issuing the Joist.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</si>
</sst>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;\(0.0%\);\-"/>
    <numFmt numFmtId="166" formatCode="0"/>
    <numFmt numFmtId="167" formatCode="\$#,##0;&quot;($&quot;#,##0\);\-"/>
    <numFmt numFmtId="168" formatCode="#,##0"/>
    <numFmt numFmtId="169" formatCode="\$#,##0.00;&quot;($&quot;#,##0.0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37"/>
      <name val="Arial"/>
      <family val="0"/>
      <charset val="1"/>
    </font>
    <font>
      <i val="true"/>
      <sz val="9"/>
      <color rgb="FF667085"/>
      <name val="Arial"/>
      <family val="0"/>
      <charset val="1"/>
    </font>
    <font>
      <b val="true"/>
      <sz val="11"/>
      <color rgb="FF1F2A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F2A37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3"/>
      <color rgb="FF1F2A3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2F4F7"/>
        <bgColor rgb="FFFFFFFF"/>
      </patternFill>
    </fill>
    <fill>
      <patternFill patternType="solid">
        <fgColor rgb="FF1F2A37"/>
        <bgColor rgb="FF333300"/>
      </patternFill>
    </fill>
    <fill>
      <patternFill patternType="solid">
        <fgColor rgb="FFFFF4C2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C00000"/>
      </font>
    </dxf>
    <dxf>
      <font>
        <name val="Arial"/>
        <charset val="1"/>
        <family val="0"/>
        <color rgb="FF008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4C2"/>
      <rgbColor rgb="FFF2F4F7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708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  <c r="C4" s="4"/>
      <c r="D4" s="4"/>
    </row>
    <row r="5" customFormat="false" ht="15" hidden="false" customHeight="false" outlineLevel="0" collapsed="false">
      <c r="A5" s="5" t="s">
        <v>3</v>
      </c>
      <c r="B5" s="5" t="s">
        <v>4</v>
      </c>
      <c r="C5" s="5"/>
      <c r="D5" s="5" t="s">
        <v>5</v>
      </c>
    </row>
    <row r="6" customFormat="false" ht="15" hidden="false" customHeight="false" outlineLevel="0" collapsed="false">
      <c r="A6" s="6" t="s">
        <v>6</v>
      </c>
      <c r="B6" s="7" t="n">
        <v>0.4</v>
      </c>
      <c r="C6" s="6"/>
      <c r="D6" s="8" t="s">
        <v>7</v>
      </c>
    </row>
    <row r="7" customFormat="false" ht="15" hidden="false" customHeight="false" outlineLevel="0" collapsed="false">
      <c r="A7" s="6" t="s">
        <v>8</v>
      </c>
      <c r="B7" s="9" t="n">
        <v>24</v>
      </c>
      <c r="C7" s="6"/>
      <c r="D7" s="8" t="s">
        <v>9</v>
      </c>
    </row>
    <row r="8" customFormat="false" ht="15" hidden="false" customHeight="false" outlineLevel="0" collapsed="false">
      <c r="A8" s="6" t="s">
        <v>10</v>
      </c>
      <c r="B8" s="10" t="n">
        <v>271379.75</v>
      </c>
      <c r="C8" s="6"/>
      <c r="D8" s="8" t="s">
        <v>11</v>
      </c>
    </row>
    <row r="9" customFormat="false" ht="15" hidden="false" customHeight="false" outlineLevel="0" collapsed="false">
      <c r="A9" s="6" t="s">
        <v>12</v>
      </c>
      <c r="B9" s="10" t="n">
        <v>16500</v>
      </c>
      <c r="C9" s="6"/>
      <c r="D9" s="8" t="s">
        <v>13</v>
      </c>
    </row>
    <row r="10" customFormat="false" ht="15" hidden="false" customHeight="false" outlineLevel="0" collapsed="false">
      <c r="A10" s="6" t="s">
        <v>14</v>
      </c>
      <c r="B10" s="7" t="n">
        <v>0.13</v>
      </c>
      <c r="C10" s="6"/>
      <c r="D10" s="8" t="s">
        <v>15</v>
      </c>
    </row>
    <row r="12" customFormat="false" ht="15" hidden="false" customHeight="false" outlineLevel="0" collapsed="false">
      <c r="A12" s="3" t="s">
        <v>16</v>
      </c>
      <c r="B12" s="4"/>
      <c r="C12" s="4"/>
      <c r="D12" s="4"/>
    </row>
    <row r="13" customFormat="false" ht="15" hidden="false" customHeight="false" outlineLevel="0" collapsed="false">
      <c r="A13" s="5" t="s">
        <v>17</v>
      </c>
      <c r="B13" s="5" t="s">
        <v>18</v>
      </c>
      <c r="C13" s="5" t="s">
        <v>19</v>
      </c>
      <c r="D13" s="5" t="s">
        <v>20</v>
      </c>
    </row>
    <row r="14" customFormat="false" ht="15" hidden="false" customHeight="false" outlineLevel="0" collapsed="false">
      <c r="A14" s="6" t="s">
        <v>21</v>
      </c>
      <c r="B14" s="11" t="n">
        <f aca="false">GEN_INT</f>
        <v>100700</v>
      </c>
      <c r="C14" s="11" t="n">
        <f aca="false">GEN_CAR</f>
        <v>100700</v>
      </c>
      <c r="D14" s="6"/>
    </row>
    <row r="15" customFormat="false" ht="15" hidden="false" customHeight="false" outlineLevel="0" collapsed="false">
      <c r="A15" s="6" t="s">
        <v>22</v>
      </c>
      <c r="B15" s="11" t="n">
        <f aca="false">PORCH_INT</f>
        <v>6692</v>
      </c>
      <c r="C15" s="11" t="n">
        <f aca="false">PORCH_CAR</f>
        <v>6692</v>
      </c>
      <c r="D15" s="6"/>
    </row>
    <row r="16" customFormat="false" ht="15" hidden="false" customHeight="false" outlineLevel="0" collapsed="false">
      <c r="A16" s="6" t="s">
        <v>23</v>
      </c>
      <c r="B16" s="11" t="n">
        <f aca="false">STRUCT_INT</f>
        <v>29106</v>
      </c>
      <c r="C16" s="11" t="n">
        <f aca="false">STRUCT_CAR</f>
        <v>29349.01</v>
      </c>
      <c r="D16" s="6"/>
    </row>
    <row r="17" customFormat="false" ht="15" hidden="false" customHeight="false" outlineLevel="0" collapsed="false">
      <c r="A17" s="6" t="s">
        <v>24</v>
      </c>
      <c r="B17" s="11" t="n">
        <f aca="false">EXT_INT</f>
        <v>56400</v>
      </c>
      <c r="C17" s="11" t="n">
        <f aca="false">EXT_CAR</f>
        <v>56045</v>
      </c>
      <c r="D17" s="6"/>
    </row>
    <row r="18" customFormat="false" ht="15" hidden="false" customHeight="false" outlineLevel="0" collapsed="false">
      <c r="A18" s="6" t="s">
        <v>25</v>
      </c>
      <c r="B18" s="11" t="n">
        <f aca="false">MECH_INT</f>
        <v>19600</v>
      </c>
      <c r="C18" s="11" t="n">
        <f aca="false">MECH_CAR</f>
        <v>17237</v>
      </c>
      <c r="D18" s="6"/>
    </row>
    <row r="19" customFormat="false" ht="15" hidden="false" customHeight="false" outlineLevel="0" collapsed="false">
      <c r="A19" s="6" t="s">
        <v>26</v>
      </c>
      <c r="B19" s="11" t="n">
        <f aca="false">TRADES_INT</f>
        <v>53550.9</v>
      </c>
      <c r="C19" s="11" t="n">
        <f aca="false">TRADES_CAR</f>
        <v>37500</v>
      </c>
      <c r="D19" s="6"/>
    </row>
    <row r="20" customFormat="false" ht="15" hidden="false" customHeight="false" outlineLevel="0" collapsed="false">
      <c r="A20" s="6" t="s">
        <v>27</v>
      </c>
      <c r="B20" s="11" t="n">
        <f aca="false">FIN_INT</f>
        <v>15250</v>
      </c>
      <c r="C20" s="11" t="n">
        <f aca="false">FIN_CAR</f>
        <v>16670</v>
      </c>
      <c r="D20" s="6"/>
    </row>
    <row r="21" customFormat="false" ht="15" hidden="false" customHeight="false" outlineLevel="0" collapsed="false">
      <c r="A21" s="6" t="s">
        <v>28</v>
      </c>
      <c r="B21" s="11" t="n">
        <f aca="false">BEAM_INT</f>
        <v>8200</v>
      </c>
      <c r="C21" s="11" t="n">
        <f aca="false">BEAM_CAR</f>
        <v>8200</v>
      </c>
      <c r="D21" s="6"/>
    </row>
    <row r="22" customFormat="false" ht="15" hidden="false" customHeight="false" outlineLevel="0" collapsed="false">
      <c r="A22" s="12" t="s">
        <v>29</v>
      </c>
      <c r="B22" s="13" t="n">
        <f aca="false">SUM(B14:B21)</f>
        <v>289498.9</v>
      </c>
      <c r="C22" s="13" t="n">
        <f aca="false">SUM(C14:C21)</f>
        <v>272393.01</v>
      </c>
      <c r="D22" s="8" t="s">
        <v>30</v>
      </c>
    </row>
    <row r="23" customFormat="false" ht="15" hidden="false" customHeight="false" outlineLevel="0" collapsed="false">
      <c r="A23" s="6" t="s">
        <v>31</v>
      </c>
      <c r="B23" s="11" t="n">
        <f aca="false">SUM(TIME_INT)</f>
        <v>79200</v>
      </c>
      <c r="C23" s="11" t="n">
        <f aca="false">SUM(TIME_INT)</f>
        <v>79200</v>
      </c>
      <c r="D23" s="6"/>
    </row>
    <row r="24" customFormat="false" ht="15" hidden="false" customHeight="false" outlineLevel="0" collapsed="false">
      <c r="A24" s="6" t="s">
        <v>32</v>
      </c>
      <c r="B24" s="14" t="n">
        <f aca="false">B22-B23</f>
        <v>210298.9</v>
      </c>
      <c r="C24" s="14" t="n">
        <f aca="false">C22-C23</f>
        <v>193193.01</v>
      </c>
      <c r="D24" s="6"/>
    </row>
    <row r="26" customFormat="false" ht="15" hidden="false" customHeight="false" outlineLevel="0" collapsed="false">
      <c r="A26" s="3" t="s">
        <v>33</v>
      </c>
      <c r="B26" s="4"/>
      <c r="C26" s="4"/>
      <c r="D26" s="4"/>
    </row>
    <row r="27" customFormat="false" ht="15" hidden="false" customHeight="false" outlineLevel="0" collapsed="false">
      <c r="A27" s="5" t="s">
        <v>17</v>
      </c>
      <c r="B27" s="5" t="s">
        <v>34</v>
      </c>
      <c r="C27" s="5" t="s">
        <v>35</v>
      </c>
      <c r="D27" s="5" t="s">
        <v>20</v>
      </c>
    </row>
    <row r="28" customFormat="false" ht="15" hidden="false" customHeight="false" outlineLevel="0" collapsed="false">
      <c r="A28" s="6" t="s">
        <v>36</v>
      </c>
      <c r="B28" s="14" t="n">
        <f aca="false">B8+B9</f>
        <v>287879.75</v>
      </c>
      <c r="C28" s="15"/>
      <c r="D28" s="8" t="s">
        <v>37</v>
      </c>
    </row>
    <row r="29" customFormat="false" ht="15" hidden="false" customHeight="false" outlineLevel="0" collapsed="false">
      <c r="A29" s="6" t="s">
        <v>38</v>
      </c>
      <c r="B29" s="14" t="n">
        <f aca="false">B28-C22</f>
        <v>15486.74</v>
      </c>
      <c r="C29" s="16" t="n">
        <f aca="false">IF(B28=0,0,B29/B28)</f>
        <v>0.0537958644190847</v>
      </c>
      <c r="D29" s="8" t="s">
        <v>39</v>
      </c>
    </row>
    <row r="30" customFormat="false" ht="15" hidden="false" customHeight="false" outlineLevel="0" collapsed="false">
      <c r="A30" s="12" t="s">
        <v>40</v>
      </c>
      <c r="B30" s="13" t="n">
        <f aca="false">C22/(1-B6)</f>
        <v>453988.35</v>
      </c>
      <c r="C30" s="17" t="n">
        <f aca="false">B6</f>
        <v>0.4</v>
      </c>
      <c r="D30" s="8" t="s">
        <v>41</v>
      </c>
    </row>
    <row r="31" customFormat="false" ht="15" hidden="false" customHeight="false" outlineLevel="0" collapsed="false">
      <c r="A31" s="6" t="s">
        <v>42</v>
      </c>
      <c r="B31" s="14" t="n">
        <f aca="false">B30-B28</f>
        <v>166108.6</v>
      </c>
      <c r="C31" s="15"/>
      <c r="D31" s="8" t="s">
        <v>43</v>
      </c>
    </row>
    <row r="32" customFormat="false" ht="15" hidden="false" customHeight="false" outlineLevel="0" collapsed="false">
      <c r="A32" s="12" t="s">
        <v>44</v>
      </c>
      <c r="B32" s="13" t="n">
        <f aca="false">C22*(1+B6)</f>
        <v>381350.214</v>
      </c>
      <c r="C32" s="17" t="n">
        <f aca="false">IF(B32=0,0,(B32-C22)/B32)</f>
        <v>0.285714285714286</v>
      </c>
      <c r="D32" s="8" t="s">
        <v>45</v>
      </c>
    </row>
    <row r="33" customFormat="false" ht="15" hidden="false" customHeight="false" outlineLevel="0" collapsed="false">
      <c r="A33" s="6" t="s">
        <v>46</v>
      </c>
      <c r="B33" s="14" t="n">
        <f aca="false">B32-B28</f>
        <v>93470.464</v>
      </c>
      <c r="C33" s="15"/>
      <c r="D33" s="8"/>
    </row>
    <row r="34" customFormat="false" ht="15" hidden="false" customHeight="false" outlineLevel="0" collapsed="false">
      <c r="A34" s="12" t="s">
        <v>47</v>
      </c>
      <c r="B34" s="13" t="n">
        <f aca="false">C24/(1-B6)</f>
        <v>321988.35</v>
      </c>
      <c r="C34" s="17" t="n">
        <f aca="false">B6</f>
        <v>0.4</v>
      </c>
      <c r="D34" s="8" t="s">
        <v>48</v>
      </c>
    </row>
    <row r="35" customFormat="false" ht="15" hidden="false" customHeight="false" outlineLevel="0" collapsed="false">
      <c r="A35" s="6" t="s">
        <v>49</v>
      </c>
      <c r="B35" s="14" t="n">
        <f aca="false">B34-B28</f>
        <v>34108.6</v>
      </c>
      <c r="C35" s="15"/>
      <c r="D35" s="8"/>
    </row>
    <row r="36" customFormat="false" ht="15" hidden="false" customHeight="false" outlineLevel="0" collapsed="false">
      <c r="A36" s="6" t="s">
        <v>50</v>
      </c>
      <c r="B36" s="14" t="n">
        <f aca="false">B34-C22</f>
        <v>49595.34</v>
      </c>
      <c r="C36" s="16" t="n">
        <f aca="false">IF(B34=0,0,B36/B34)</f>
        <v>0.154028367796537</v>
      </c>
      <c r="D36" s="8" t="s">
        <v>51</v>
      </c>
    </row>
    <row r="37" customFormat="false" ht="15" hidden="false" customHeight="false" outlineLevel="0" collapsed="false">
      <c r="A37" s="6" t="s">
        <v>52</v>
      </c>
      <c r="B37" s="14" t="n">
        <f aca="false">LOWBID_TOTAL</f>
        <v>263612.35</v>
      </c>
      <c r="C37" s="16" t="n">
        <f aca="false">IF(B28=0,0,(B28-B37)/B28)</f>
        <v>0.0842970024810707</v>
      </c>
      <c r="D37" s="8" t="s">
        <v>53</v>
      </c>
    </row>
  </sheetData>
  <conditionalFormatting sqref="C29">
    <cfRule type="cellIs" priority="2" operator="lessThan" aboveAverage="0" equalAverage="0" bottom="0" percent="0" rank="0" text="" dxfId="0">
      <formula>0.15</formula>
    </cfRule>
  </conditionalFormatting>
  <conditionalFormatting sqref="C37">
    <cfRule type="cellIs" priority="3" operator="lessThan" aboveAverage="0" equalAverage="0" bottom="0" percent="0" rank="0" text="" dxfId="0">
      <formula>0.15</formula>
    </cfRule>
  </conditionalFormatting>
  <conditionalFormatting sqref="B31">
    <cfRule type="cellIs" priority="4" operator="greaterThan" aboveAverage="0" equalAverage="0" bottom="0" percent="0" rank="0" text="" dxfId="0">
      <formula>0</formula>
    </cfRule>
  </conditionalFormatting>
  <conditionalFormatting sqref="B33">
    <cfRule type="cellIs" priority="5" operator="greaterThan" aboveAverage="0" equalAverage="0" bottom="0" percent="0" rank="0" text="" dxfId="0">
      <formula>0</formula>
    </cfRule>
  </conditionalFormatting>
  <conditionalFormatting sqref="B35">
    <cfRule type="cellIs" priority="6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X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4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8"/>
    <col collapsed="false" customWidth="true" hidden="false" outlineLevel="0" max="15" min="15" style="0" width="12"/>
    <col collapsed="false" customWidth="true" hidden="false" outlineLevel="0" max="16" min="16" style="0" width="18"/>
    <col collapsed="false" customWidth="true" hidden="false" outlineLevel="0" max="17" min="17" style="0" width="12"/>
    <col collapsed="false" customWidth="true" hidden="false" outlineLevel="0" max="18" min="18" style="0" width="18"/>
    <col collapsed="false" customWidth="true" hidden="false" outlineLevel="0" max="19" min="19" style="0" width="12"/>
    <col collapsed="false" customWidth="true" hidden="false" outlineLevel="0" max="20" min="20" style="0" width="18"/>
    <col collapsed="false" customWidth="true" hidden="false" outlineLevel="0" max="21" min="21" style="0" width="12"/>
    <col collapsed="false" customWidth="true" hidden="false" outlineLevel="0" max="22" min="22" style="0" width="60"/>
    <col collapsed="false" customWidth="true" hidden="false" outlineLevel="0" max="24" min="23" style="0" width="14"/>
  </cols>
  <sheetData>
    <row r="1" customFormat="false" ht="17.35" hidden="false" customHeight="false" outlineLevel="0" collapsed="false">
      <c r="A1" s="1" t="s">
        <v>54</v>
      </c>
    </row>
    <row r="2" customFormat="false" ht="15" hidden="false" customHeight="false" outlineLevel="0" collapsed="false">
      <c r="A2" s="2" t="s">
        <v>55</v>
      </c>
    </row>
    <row r="3" customFormat="false" ht="27.75" hidden="false" customHeight="true" outlineLevel="0" collapsed="false">
      <c r="A3" s="18" t="s">
        <v>56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5" customFormat="false" ht="42" hidden="false" customHeight="true" outlineLevel="0" collapsed="false">
      <c r="A5" s="19" t="s">
        <v>57</v>
      </c>
      <c r="B5" s="19" t="s">
        <v>58</v>
      </c>
      <c r="C5" s="19" t="s">
        <v>59</v>
      </c>
      <c r="D5" s="19" t="s">
        <v>60</v>
      </c>
      <c r="E5" s="19" t="s">
        <v>61</v>
      </c>
      <c r="F5" s="19" t="s">
        <v>62</v>
      </c>
      <c r="G5" s="19" t="s">
        <v>63</v>
      </c>
      <c r="H5" s="19" t="s">
        <v>64</v>
      </c>
      <c r="I5" s="19" t="s">
        <v>65</v>
      </c>
      <c r="J5" s="19" t="s">
        <v>66</v>
      </c>
      <c r="K5" s="19" t="s">
        <v>67</v>
      </c>
      <c r="L5" s="19" t="s">
        <v>68</v>
      </c>
      <c r="M5" s="19" t="s">
        <v>69</v>
      </c>
      <c r="N5" s="19" t="s">
        <v>70</v>
      </c>
      <c r="O5" s="19" t="s">
        <v>71</v>
      </c>
      <c r="P5" s="19" t="s">
        <v>72</v>
      </c>
      <c r="Q5" s="19" t="s">
        <v>73</v>
      </c>
      <c r="R5" s="19" t="s">
        <v>74</v>
      </c>
      <c r="S5" s="19" t="s">
        <v>75</v>
      </c>
      <c r="T5" s="19" t="s">
        <v>76</v>
      </c>
      <c r="U5" s="19" t="s">
        <v>77</v>
      </c>
      <c r="V5" s="19" t="s">
        <v>78</v>
      </c>
      <c r="W5" s="5" t="s">
        <v>79</v>
      </c>
      <c r="X5" s="5" t="s">
        <v>80</v>
      </c>
    </row>
    <row r="6" customFormat="false" ht="15" hidden="false" customHeight="false" outlineLevel="0" collapsed="false">
      <c r="A6" s="20"/>
      <c r="B6" s="21" t="s">
        <v>81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</row>
    <row r="7" customFormat="false" ht="25.5" hidden="false" customHeight="true" outlineLevel="0" collapsed="false">
      <c r="A7" s="22" t="n">
        <v>1</v>
      </c>
      <c r="B7" s="23" t="s">
        <v>82</v>
      </c>
      <c r="C7" s="10" t="n">
        <v>3000</v>
      </c>
      <c r="D7" s="24" t="n">
        <v>1</v>
      </c>
      <c r="E7" s="22" t="s">
        <v>83</v>
      </c>
      <c r="F7" s="14" t="n">
        <f aca="false">C7*D7</f>
        <v>3000</v>
      </c>
      <c r="G7" s="16" t="n">
        <f aca="false">IF(GRANDCAR=0,0,J7/GRANDCAR)</f>
        <v>0.0110134984741349</v>
      </c>
      <c r="H7" s="14" t="n">
        <f aca="false">J7/(1-MARGIN)</f>
        <v>5000</v>
      </c>
      <c r="I7" s="14" t="n">
        <f aca="false">H7-J7</f>
        <v>2000</v>
      </c>
      <c r="J7" s="25" t="n">
        <f aca="false">IF(ISNUMBER(L7),L7,IF(COUNT(O7,Q7,S7,U7)&gt;0,MIN(O7,Q7,S7,U7),F7))</f>
        <v>3000</v>
      </c>
      <c r="K7" s="26" t="str">
        <f aca="false">IF(ISNUMBER(L7),"Override",IF(COUNT(O7,Q7,S7,U7)&gt;0,"Low bid","Internal rate"))</f>
        <v>Internal rate</v>
      </c>
      <c r="L7" s="10"/>
      <c r="M7" s="14" t="str">
        <f aca="false">IF(COUNT(O7,Q7,S7,U7)=0,"",MIN(O7,Q7,S7,U7))</f>
        <v/>
      </c>
      <c r="N7" s="6"/>
      <c r="O7" s="27"/>
      <c r="P7" s="6"/>
      <c r="Q7" s="27"/>
      <c r="R7" s="6"/>
      <c r="S7" s="27"/>
      <c r="T7" s="6"/>
      <c r="U7" s="27"/>
      <c r="V7" s="8" t="s">
        <v>84</v>
      </c>
      <c r="W7" s="14" t="n">
        <f aca="false">IF(M7="",F7,M7)</f>
        <v>3000</v>
      </c>
      <c r="X7" s="14" t="n">
        <f aca="false">J7-F7</f>
        <v>0</v>
      </c>
    </row>
    <row r="8" customFormat="false" ht="25.5" hidden="false" customHeight="true" outlineLevel="0" collapsed="false">
      <c r="A8" s="22" t="n">
        <v>2</v>
      </c>
      <c r="B8" s="23" t="s">
        <v>85</v>
      </c>
      <c r="C8" s="10" t="n">
        <v>3500</v>
      </c>
      <c r="D8" s="24" t="n">
        <v>1</v>
      </c>
      <c r="E8" s="22" t="s">
        <v>83</v>
      </c>
      <c r="F8" s="14" t="n">
        <f aca="false">C8*D8</f>
        <v>3500</v>
      </c>
      <c r="G8" s="16" t="n">
        <f aca="false">IF(GRANDCAR=0,0,J8/GRANDCAR)</f>
        <v>0.0128490815531573</v>
      </c>
      <c r="H8" s="14" t="n">
        <f aca="false">J8/(1-MARGIN)</f>
        <v>5833.33333333333</v>
      </c>
      <c r="I8" s="14" t="n">
        <f aca="false">H8-J8</f>
        <v>2333.33333333333</v>
      </c>
      <c r="J8" s="25" t="n">
        <f aca="false">IF(ISNUMBER(L8),L8,IF(COUNT(O8,Q8,S8,U8)&gt;0,MIN(O8,Q8,S8,U8),F8))</f>
        <v>3500</v>
      </c>
      <c r="K8" s="26" t="str">
        <f aca="false">IF(ISNUMBER(L8),"Override",IF(COUNT(O8,Q8,S8,U8)&gt;0,"Low bid","Internal rate"))</f>
        <v>Internal rate</v>
      </c>
      <c r="L8" s="10"/>
      <c r="M8" s="14" t="str">
        <f aca="false">IF(COUNT(O8,Q8,S8,U8)=0,"",MIN(O8,Q8,S8,U8))</f>
        <v/>
      </c>
      <c r="N8" s="6"/>
      <c r="O8" s="27"/>
      <c r="P8" s="6"/>
      <c r="Q8" s="27"/>
      <c r="R8" s="6"/>
      <c r="S8" s="27"/>
      <c r="T8" s="6"/>
      <c r="U8" s="27"/>
      <c r="V8" s="8" t="s">
        <v>86</v>
      </c>
      <c r="W8" s="14" t="n">
        <f aca="false">IF(M8="",F8,M8)</f>
        <v>3500</v>
      </c>
      <c r="X8" s="14" t="n">
        <f aca="false">J8-F8</f>
        <v>0</v>
      </c>
    </row>
    <row r="9" customFormat="false" ht="25.5" hidden="false" customHeight="true" outlineLevel="0" collapsed="false">
      <c r="A9" s="22" t="n">
        <v>3</v>
      </c>
      <c r="B9" s="23" t="s">
        <v>87</v>
      </c>
      <c r="C9" s="10" t="n">
        <v>2000</v>
      </c>
      <c r="D9" s="24" t="n">
        <v>1</v>
      </c>
      <c r="E9" s="22" t="s">
        <v>83</v>
      </c>
      <c r="F9" s="14" t="n">
        <f aca="false">C9*D9</f>
        <v>2000</v>
      </c>
      <c r="G9" s="16" t="n">
        <f aca="false">IF(GRANDCAR=0,0,J9/GRANDCAR)</f>
        <v>0.0073423323160899</v>
      </c>
      <c r="H9" s="14" t="n">
        <f aca="false">J9/(1-MARGIN)</f>
        <v>3333.33333333333</v>
      </c>
      <c r="I9" s="14" t="n">
        <f aca="false">H9-J9</f>
        <v>1333.33333333333</v>
      </c>
      <c r="J9" s="25" t="n">
        <f aca="false">IF(ISNUMBER(L9),L9,IF(COUNT(O9,Q9,S9,U9)&gt;0,MIN(O9,Q9,S9,U9),F9))</f>
        <v>2000</v>
      </c>
      <c r="K9" s="26" t="str">
        <f aca="false">IF(ISNUMBER(L9),"Override",IF(COUNT(O9,Q9,S9,U9)&gt;0,"Low bid","Internal rate"))</f>
        <v>Internal rate</v>
      </c>
      <c r="L9" s="10"/>
      <c r="M9" s="14" t="str">
        <f aca="false">IF(COUNT(O9,Q9,S9,U9)=0,"",MIN(O9,Q9,S9,U9))</f>
        <v/>
      </c>
      <c r="N9" s="6"/>
      <c r="O9" s="27"/>
      <c r="P9" s="6"/>
      <c r="Q9" s="27"/>
      <c r="R9" s="6"/>
      <c r="S9" s="27"/>
      <c r="T9" s="6"/>
      <c r="U9" s="27"/>
      <c r="V9" s="8" t="s">
        <v>88</v>
      </c>
      <c r="W9" s="14" t="n">
        <f aca="false">IF(M9="",F9,M9)</f>
        <v>2000</v>
      </c>
      <c r="X9" s="14" t="n">
        <f aca="false">J9-F9</f>
        <v>0</v>
      </c>
    </row>
    <row r="10" customFormat="false" ht="25.5" hidden="false" customHeight="true" outlineLevel="0" collapsed="false">
      <c r="A10" s="22" t="n">
        <v>4</v>
      </c>
      <c r="B10" s="23" t="s">
        <v>89</v>
      </c>
      <c r="C10" s="10" t="n">
        <v>2500</v>
      </c>
      <c r="D10" s="24" t="n">
        <v>1</v>
      </c>
      <c r="E10" s="22" t="s">
        <v>83</v>
      </c>
      <c r="F10" s="14" t="n">
        <f aca="false">C10*D10</f>
        <v>2500</v>
      </c>
      <c r="G10" s="16" t="n">
        <f aca="false">IF(GRANDCAR=0,0,J10/GRANDCAR)</f>
        <v>0.00917791539511238</v>
      </c>
      <c r="H10" s="14" t="n">
        <f aca="false">J10/(1-MARGIN)</f>
        <v>4166.66666666667</v>
      </c>
      <c r="I10" s="14" t="n">
        <f aca="false">H10-J10</f>
        <v>1666.66666666667</v>
      </c>
      <c r="J10" s="25" t="n">
        <f aca="false">IF(ISNUMBER(L10),L10,IF(COUNT(O10,Q10,S10,U10)&gt;0,MIN(O10,Q10,S10,U10),F10))</f>
        <v>2500</v>
      </c>
      <c r="K10" s="26" t="str">
        <f aca="false">IF(ISNUMBER(L10),"Override",IF(COUNT(O10,Q10,S10,U10)&gt;0,"Low bid","Internal rate"))</f>
        <v>Internal rate</v>
      </c>
      <c r="L10" s="10"/>
      <c r="M10" s="14" t="str">
        <f aca="false">IF(COUNT(O10,Q10,S10,U10)=0,"",MIN(O10,Q10,S10,U10))</f>
        <v/>
      </c>
      <c r="N10" s="6"/>
      <c r="O10" s="27"/>
      <c r="P10" s="6"/>
      <c r="Q10" s="27"/>
      <c r="R10" s="6"/>
      <c r="S10" s="27"/>
      <c r="T10" s="6"/>
      <c r="U10" s="27"/>
      <c r="V10" s="8" t="s">
        <v>84</v>
      </c>
      <c r="W10" s="14" t="n">
        <f aca="false">IF(M10="",F10,M10)</f>
        <v>2500</v>
      </c>
      <c r="X10" s="14" t="n">
        <f aca="false">J10-F10</f>
        <v>0</v>
      </c>
    </row>
    <row r="11" customFormat="false" ht="25.5" hidden="false" customHeight="true" outlineLevel="0" collapsed="false">
      <c r="A11" s="22" t="n">
        <v>5</v>
      </c>
      <c r="B11" s="23" t="s">
        <v>90</v>
      </c>
      <c r="C11" s="10" t="n">
        <v>1500</v>
      </c>
      <c r="D11" s="24" t="n">
        <v>2</v>
      </c>
      <c r="E11" s="22" t="s">
        <v>91</v>
      </c>
      <c r="F11" s="14" t="n">
        <f aca="false">C11*D11</f>
        <v>3000</v>
      </c>
      <c r="G11" s="16" t="n">
        <f aca="false">IF(GRANDCAR=0,0,J11/GRANDCAR)</f>
        <v>0.0110134984741349</v>
      </c>
      <c r="H11" s="14" t="n">
        <f aca="false">J11/(1-MARGIN)</f>
        <v>5000</v>
      </c>
      <c r="I11" s="14" t="n">
        <f aca="false">H11-J11</f>
        <v>2000</v>
      </c>
      <c r="J11" s="25" t="n">
        <f aca="false">IF(ISNUMBER(L11),L11,IF(COUNT(O11,Q11,S11,U11)&gt;0,MIN(O11,Q11,S11,U11),F11))</f>
        <v>3000</v>
      </c>
      <c r="K11" s="26" t="str">
        <f aca="false">IF(ISNUMBER(L11),"Override",IF(COUNT(O11,Q11,S11,U11)&gt;0,"Low bid","Internal rate"))</f>
        <v>Internal rate</v>
      </c>
      <c r="L11" s="10"/>
      <c r="M11" s="14" t="str">
        <f aca="false">IF(COUNT(O11,Q11,S11,U11)=0,"",MIN(O11,Q11,S11,U11))</f>
        <v/>
      </c>
      <c r="N11" s="6"/>
      <c r="O11" s="27"/>
      <c r="P11" s="6"/>
      <c r="Q11" s="27"/>
      <c r="R11" s="6"/>
      <c r="S11" s="27"/>
      <c r="T11" s="6"/>
      <c r="U11" s="27"/>
      <c r="V11" s="8" t="s">
        <v>92</v>
      </c>
      <c r="W11" s="14" t="n">
        <f aca="false">IF(M11="",F11,M11)</f>
        <v>3000</v>
      </c>
      <c r="X11" s="14" t="n">
        <f aca="false">J11-F11</f>
        <v>0</v>
      </c>
    </row>
    <row r="12" customFormat="false" ht="25.5" hidden="false" customHeight="true" outlineLevel="0" collapsed="false">
      <c r="A12" s="22" t="n">
        <v>6</v>
      </c>
      <c r="B12" s="23" t="s">
        <v>93</v>
      </c>
      <c r="C12" s="10" t="n">
        <v>1500</v>
      </c>
      <c r="D12" s="24" t="n">
        <v>1</v>
      </c>
      <c r="E12" s="22" t="s">
        <v>83</v>
      </c>
      <c r="F12" s="14" t="n">
        <f aca="false">C12*D12</f>
        <v>1500</v>
      </c>
      <c r="G12" s="16" t="n">
        <f aca="false">IF(GRANDCAR=0,0,J12/GRANDCAR)</f>
        <v>0.00550674923706743</v>
      </c>
      <c r="H12" s="14" t="n">
        <f aca="false">J12/(1-MARGIN)</f>
        <v>2500</v>
      </c>
      <c r="I12" s="14" t="n">
        <f aca="false">H12-J12</f>
        <v>1000</v>
      </c>
      <c r="J12" s="25" t="n">
        <f aca="false">IF(ISNUMBER(L12),L12,IF(COUNT(O12,Q12,S12,U12)&gt;0,MIN(O12,Q12,S12,U12),F12))</f>
        <v>1500</v>
      </c>
      <c r="K12" s="26" t="str">
        <f aca="false">IF(ISNUMBER(L12),"Override",IF(COUNT(O12,Q12,S12,U12)&gt;0,"Low bid","Internal rate"))</f>
        <v>Internal rate</v>
      </c>
      <c r="L12" s="10"/>
      <c r="M12" s="14" t="str">
        <f aca="false">IF(COUNT(O12,Q12,S12,U12)=0,"",MIN(O12,Q12,S12,U12))</f>
        <v/>
      </c>
      <c r="N12" s="6"/>
      <c r="O12" s="27"/>
      <c r="P12" s="6"/>
      <c r="Q12" s="27"/>
      <c r="R12" s="6"/>
      <c r="S12" s="27"/>
      <c r="T12" s="6"/>
      <c r="U12" s="27"/>
      <c r="V12" s="8" t="s">
        <v>94</v>
      </c>
      <c r="W12" s="14" t="n">
        <f aca="false">IF(M12="",F12,M12)</f>
        <v>1500</v>
      </c>
      <c r="X12" s="14" t="n">
        <f aca="false">J12-F12</f>
        <v>0</v>
      </c>
    </row>
    <row r="13" customFormat="false" ht="25.5" hidden="false" customHeight="true" outlineLevel="0" collapsed="false">
      <c r="A13" s="22" t="n">
        <v>7</v>
      </c>
      <c r="B13" s="23" t="s">
        <v>95</v>
      </c>
      <c r="C13" s="10" t="n">
        <v>1500</v>
      </c>
      <c r="D13" s="24" t="n">
        <v>1</v>
      </c>
      <c r="E13" s="22" t="s">
        <v>83</v>
      </c>
      <c r="F13" s="14" t="n">
        <f aca="false">C13*D13</f>
        <v>1500</v>
      </c>
      <c r="G13" s="16" t="n">
        <f aca="false">IF(GRANDCAR=0,0,J13/GRANDCAR)</f>
        <v>0.00550674923706743</v>
      </c>
      <c r="H13" s="14" t="n">
        <f aca="false">J13/(1-MARGIN)</f>
        <v>2500</v>
      </c>
      <c r="I13" s="14" t="n">
        <f aca="false">H13-J13</f>
        <v>1000</v>
      </c>
      <c r="J13" s="25" t="n">
        <f aca="false">IF(ISNUMBER(L13),L13,IF(COUNT(O13,Q13,S13,U13)&gt;0,MIN(O13,Q13,S13,U13),F13))</f>
        <v>1500</v>
      </c>
      <c r="K13" s="26" t="str">
        <f aca="false">IF(ISNUMBER(L13),"Override",IF(COUNT(O13,Q13,S13,U13)&gt;0,"Low bid","Internal rate"))</f>
        <v>Internal rate</v>
      </c>
      <c r="L13" s="10"/>
      <c r="M13" s="14" t="str">
        <f aca="false">IF(COUNT(O13,Q13,S13,U13)=0,"",MIN(O13,Q13,S13,U13))</f>
        <v/>
      </c>
      <c r="N13" s="6"/>
      <c r="O13" s="27"/>
      <c r="P13" s="6"/>
      <c r="Q13" s="27"/>
      <c r="R13" s="6"/>
      <c r="S13" s="27"/>
      <c r="T13" s="6"/>
      <c r="U13" s="27"/>
      <c r="V13" s="8" t="s">
        <v>96</v>
      </c>
      <c r="W13" s="14" t="n">
        <f aca="false">IF(M13="",F13,M13)</f>
        <v>1500</v>
      </c>
      <c r="X13" s="14" t="n">
        <f aca="false">J13-F13</f>
        <v>0</v>
      </c>
    </row>
    <row r="14" customFormat="false" ht="25.5" hidden="false" customHeight="true" outlineLevel="0" collapsed="false">
      <c r="A14" s="22" t="n">
        <v>8</v>
      </c>
      <c r="B14" s="23" t="s">
        <v>97</v>
      </c>
      <c r="C14" s="10" t="n">
        <v>4500</v>
      </c>
      <c r="D14" s="24" t="n">
        <v>1</v>
      </c>
      <c r="E14" s="22" t="s">
        <v>83</v>
      </c>
      <c r="F14" s="14" t="n">
        <f aca="false">C14*D14</f>
        <v>4500</v>
      </c>
      <c r="G14" s="16" t="n">
        <f aca="false">IF(GRANDCAR=0,0,J14/GRANDCAR)</f>
        <v>0.0165202477112023</v>
      </c>
      <c r="H14" s="14" t="n">
        <f aca="false">J14/(1-MARGIN)</f>
        <v>7500</v>
      </c>
      <c r="I14" s="14" t="n">
        <f aca="false">H14-J14</f>
        <v>3000</v>
      </c>
      <c r="J14" s="25" t="n">
        <f aca="false">IF(ISNUMBER(L14),L14,IF(COUNT(O14,Q14,S14,U14)&gt;0,MIN(O14,Q14,S14,U14),F14))</f>
        <v>4500</v>
      </c>
      <c r="K14" s="26" t="str">
        <f aca="false">IF(ISNUMBER(L14),"Override",IF(COUNT(O14,Q14,S14,U14)&gt;0,"Low bid","Internal rate"))</f>
        <v>Internal rate</v>
      </c>
      <c r="L14" s="10"/>
      <c r="M14" s="14" t="str">
        <f aca="false">IF(COUNT(O14,Q14,S14,U14)=0,"",MIN(O14,Q14,S14,U14))</f>
        <v/>
      </c>
      <c r="N14" s="6"/>
      <c r="O14" s="27"/>
      <c r="P14" s="6"/>
      <c r="Q14" s="27"/>
      <c r="R14" s="6"/>
      <c r="S14" s="27"/>
      <c r="T14" s="6"/>
      <c r="U14" s="27"/>
      <c r="V14" s="8" t="s">
        <v>98</v>
      </c>
      <c r="W14" s="14" t="n">
        <f aca="false">IF(M14="",F14,M14)</f>
        <v>4500</v>
      </c>
      <c r="X14" s="14" t="n">
        <f aca="false">J14-F14</f>
        <v>0</v>
      </c>
    </row>
    <row r="15" customFormat="false" ht="25.5" hidden="false" customHeight="true" outlineLevel="0" collapsed="false">
      <c r="A15" s="22" t="n">
        <v>9</v>
      </c>
      <c r="B15" s="23" t="s">
        <v>99</v>
      </c>
      <c r="C15" s="10" t="n">
        <v>1700</v>
      </c>
      <c r="D15" s="28" t="n">
        <f aca="false">WEEKS</f>
        <v>24</v>
      </c>
      <c r="E15" s="22" t="s">
        <v>100</v>
      </c>
      <c r="F15" s="14" t="n">
        <f aca="false">C15*D15</f>
        <v>40800</v>
      </c>
      <c r="G15" s="16" t="n">
        <f aca="false">IF(GRANDCAR=0,0,J15/GRANDCAR)</f>
        <v>0.149783579248234</v>
      </c>
      <c r="H15" s="14" t="n">
        <f aca="false">J15/(1-MARGIN)</f>
        <v>68000</v>
      </c>
      <c r="I15" s="14" t="n">
        <f aca="false">H15-J15</f>
        <v>27200</v>
      </c>
      <c r="J15" s="25" t="n">
        <f aca="false">IF(ISNUMBER(L15),L15,IF(COUNT(O15,Q15,S15,U15)&gt;0,MIN(O15,Q15,S15,U15),F15))</f>
        <v>40800</v>
      </c>
      <c r="K15" s="26" t="str">
        <f aca="false">IF(ISNUMBER(L15),"Override",IF(COUNT(O15,Q15,S15,U15)&gt;0,"Low bid","Internal rate"))</f>
        <v>Internal rate</v>
      </c>
      <c r="L15" s="10"/>
      <c r="M15" s="14" t="str">
        <f aca="false">IF(COUNT(O15,Q15,S15,U15)=0,"",MIN(O15,Q15,S15,U15))</f>
        <v/>
      </c>
      <c r="N15" s="6"/>
      <c r="O15" s="27"/>
      <c r="P15" s="6"/>
      <c r="Q15" s="27"/>
      <c r="R15" s="6"/>
      <c r="S15" s="27"/>
      <c r="T15" s="6"/>
      <c r="U15" s="27"/>
      <c r="V15" s="8" t="s">
        <v>101</v>
      </c>
      <c r="W15" s="14" t="n">
        <f aca="false">IF(M15="",F15,M15)</f>
        <v>40800</v>
      </c>
      <c r="X15" s="14" t="n">
        <f aca="false">J15-F15</f>
        <v>0</v>
      </c>
    </row>
    <row r="16" customFormat="false" ht="25.5" hidden="false" customHeight="true" outlineLevel="0" collapsed="false">
      <c r="A16" s="22" t="n">
        <v>10</v>
      </c>
      <c r="B16" s="23" t="s">
        <v>102</v>
      </c>
      <c r="C16" s="10" t="n">
        <v>600</v>
      </c>
      <c r="D16" s="28" t="n">
        <f aca="false">WEEKS</f>
        <v>24</v>
      </c>
      <c r="E16" s="22" t="s">
        <v>100</v>
      </c>
      <c r="F16" s="14" t="n">
        <f aca="false">C16*D16</f>
        <v>14400</v>
      </c>
      <c r="G16" s="16" t="n">
        <f aca="false">IF(GRANDCAR=0,0,J16/GRANDCAR)</f>
        <v>0.0528647926758473</v>
      </c>
      <c r="H16" s="14" t="n">
        <f aca="false">J16/(1-MARGIN)</f>
        <v>24000</v>
      </c>
      <c r="I16" s="14" t="n">
        <f aca="false">H16-J16</f>
        <v>9600</v>
      </c>
      <c r="J16" s="25" t="n">
        <f aca="false">IF(ISNUMBER(L16),L16,IF(COUNT(O16,Q16,S16,U16)&gt;0,MIN(O16,Q16,S16,U16),F16))</f>
        <v>14400</v>
      </c>
      <c r="K16" s="26" t="str">
        <f aca="false">IF(ISNUMBER(L16),"Override",IF(COUNT(O16,Q16,S16,U16)&gt;0,"Low bid","Internal rate"))</f>
        <v>Internal rate</v>
      </c>
      <c r="L16" s="10"/>
      <c r="M16" s="14" t="str">
        <f aca="false">IF(COUNT(O16,Q16,S16,U16)=0,"",MIN(O16,Q16,S16,U16))</f>
        <v/>
      </c>
      <c r="N16" s="6"/>
      <c r="O16" s="27"/>
      <c r="P16" s="6"/>
      <c r="Q16" s="27"/>
      <c r="R16" s="6"/>
      <c r="S16" s="27"/>
      <c r="T16" s="6"/>
      <c r="U16" s="27"/>
      <c r="V16" s="8" t="s">
        <v>103</v>
      </c>
      <c r="W16" s="14" t="n">
        <f aca="false">IF(M16="",F16,M16)</f>
        <v>14400</v>
      </c>
      <c r="X16" s="14" t="n">
        <f aca="false">J16-F16</f>
        <v>0</v>
      </c>
    </row>
    <row r="17" customFormat="false" ht="25.5" hidden="false" customHeight="true" outlineLevel="0" collapsed="false">
      <c r="A17" s="22" t="n">
        <v>11</v>
      </c>
      <c r="B17" s="23" t="s">
        <v>104</v>
      </c>
      <c r="C17" s="10" t="n">
        <v>1000</v>
      </c>
      <c r="D17" s="28" t="n">
        <f aca="false">WEEKS</f>
        <v>24</v>
      </c>
      <c r="E17" s="22" t="s">
        <v>100</v>
      </c>
      <c r="F17" s="14" t="n">
        <f aca="false">C17*D17</f>
        <v>24000</v>
      </c>
      <c r="G17" s="16" t="n">
        <f aca="false">IF(GRANDCAR=0,0,J17/GRANDCAR)</f>
        <v>0.0881079877930788</v>
      </c>
      <c r="H17" s="14" t="n">
        <f aca="false">J17/(1-MARGIN)</f>
        <v>40000</v>
      </c>
      <c r="I17" s="14" t="n">
        <f aca="false">H17-J17</f>
        <v>16000</v>
      </c>
      <c r="J17" s="25" t="n">
        <f aca="false">IF(ISNUMBER(L17),L17,IF(COUNT(O17,Q17,S17,U17)&gt;0,MIN(O17,Q17,S17,U17),F17))</f>
        <v>24000</v>
      </c>
      <c r="K17" s="26" t="str">
        <f aca="false">IF(ISNUMBER(L17),"Override",IF(COUNT(O17,Q17,S17,U17)&gt;0,"Low bid","Internal rate"))</f>
        <v>Internal rate</v>
      </c>
      <c r="L17" s="10"/>
      <c r="M17" s="14" t="str">
        <f aca="false">IF(COUNT(O17,Q17,S17,U17)=0,"",MIN(O17,Q17,S17,U17))</f>
        <v/>
      </c>
      <c r="N17" s="6"/>
      <c r="O17" s="27"/>
      <c r="P17" s="6"/>
      <c r="Q17" s="27"/>
      <c r="R17" s="6"/>
      <c r="S17" s="27"/>
      <c r="T17" s="6"/>
      <c r="U17" s="27"/>
      <c r="V17" s="8" t="s">
        <v>105</v>
      </c>
      <c r="W17" s="14" t="n">
        <f aca="false">IF(M17="",F17,M17)</f>
        <v>24000</v>
      </c>
      <c r="X17" s="14" t="n">
        <f aca="false">J17-F17</f>
        <v>0</v>
      </c>
    </row>
    <row r="18" customFormat="false" ht="15" hidden="false" customHeight="false" outlineLevel="0" collapsed="false">
      <c r="B18" s="12" t="s">
        <v>106</v>
      </c>
      <c r="F18" s="13" t="n">
        <f aca="false">SUM(F7:F17)</f>
        <v>100700</v>
      </c>
      <c r="G18" s="17" t="n">
        <f aca="false">IF(GRANDCAR=0,0,J18/GRANDCAR)</f>
        <v>0.369686432115127</v>
      </c>
      <c r="H18" s="13" t="n">
        <f aca="false">SUM(H7:H17)</f>
        <v>167833.333333333</v>
      </c>
      <c r="I18" s="13" t="n">
        <f aca="false">SUM(I7:I17)</f>
        <v>67133.3333333333</v>
      </c>
      <c r="J18" s="13" t="n">
        <f aca="false">SUM(J7:J17)</f>
        <v>100700</v>
      </c>
    </row>
    <row r="20" customFormat="false" ht="15" hidden="false" customHeight="false" outlineLevel="0" collapsed="false">
      <c r="A20" s="20"/>
      <c r="B20" s="21" t="s">
        <v>107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</row>
    <row r="21" customFormat="false" ht="36" hidden="false" customHeight="true" outlineLevel="0" collapsed="false">
      <c r="A21" s="22" t="n">
        <v>12</v>
      </c>
      <c r="B21" s="23" t="s">
        <v>108</v>
      </c>
      <c r="C21" s="10" t="n">
        <v>500</v>
      </c>
      <c r="D21" s="24" t="n">
        <v>4</v>
      </c>
      <c r="E21" s="22" t="s">
        <v>109</v>
      </c>
      <c r="F21" s="14" t="n">
        <f aca="false">C21*D21</f>
        <v>2000</v>
      </c>
      <c r="G21" s="16" t="n">
        <f aca="false">IF(GRANDCAR=0,0,J21/GRANDCAR)</f>
        <v>0.0073423323160899</v>
      </c>
      <c r="H21" s="14" t="n">
        <f aca="false">J21/(1-MARGIN)</f>
        <v>3333.33333333333</v>
      </c>
      <c r="I21" s="14" t="n">
        <f aca="false">H21-J21</f>
        <v>1333.33333333333</v>
      </c>
      <c r="J21" s="25" t="n">
        <f aca="false">IF(ISNUMBER(L21),L21,IF(COUNT(O21,Q21,S21,U21)&gt;0,MIN(O21,Q21,S21,U21),F21))</f>
        <v>2000</v>
      </c>
      <c r="K21" s="26" t="str">
        <f aca="false">IF(ISNUMBER(L21),"Override",IF(COUNT(O21,Q21,S21,U21)&gt;0,"Low bid","Internal rate"))</f>
        <v>Internal rate</v>
      </c>
      <c r="L21" s="10"/>
      <c r="M21" s="14" t="str">
        <f aca="false">IF(COUNT(O21,Q21,S21,U21)=0,"",MIN(O21,Q21,S21,U21))</f>
        <v/>
      </c>
      <c r="N21" s="29" t="s">
        <v>110</v>
      </c>
      <c r="O21" s="27"/>
      <c r="P21" s="29" t="s">
        <v>111</v>
      </c>
      <c r="Q21" s="27"/>
      <c r="R21" s="29" t="s">
        <v>112</v>
      </c>
      <c r="S21" s="27"/>
      <c r="T21" s="6"/>
      <c r="U21" s="27"/>
      <c r="V21" s="8" t="s">
        <v>113</v>
      </c>
      <c r="W21" s="14" t="n">
        <f aca="false">IF(M21="",F21,M21)</f>
        <v>2000</v>
      </c>
      <c r="X21" s="14" t="n">
        <f aca="false">J21-F21</f>
        <v>0</v>
      </c>
    </row>
    <row r="22" customFormat="false" ht="25.5" hidden="false" customHeight="true" outlineLevel="0" collapsed="false">
      <c r="A22" s="22" t="n">
        <v>13</v>
      </c>
      <c r="B22" s="23" t="s">
        <v>114</v>
      </c>
      <c r="C22" s="30" t="n">
        <v>41.2</v>
      </c>
      <c r="D22" s="24" t="n">
        <v>85</v>
      </c>
      <c r="E22" s="22" t="s">
        <v>115</v>
      </c>
      <c r="F22" s="14" t="n">
        <f aca="false">C22*D22</f>
        <v>3502</v>
      </c>
      <c r="G22" s="16" t="n">
        <f aca="false">IF(GRANDCAR=0,0,J22/GRANDCAR)</f>
        <v>0.0128564238854734</v>
      </c>
      <c r="H22" s="14" t="n">
        <f aca="false">J22/(1-MARGIN)</f>
        <v>5836.66666666667</v>
      </c>
      <c r="I22" s="14" t="n">
        <f aca="false">H22-J22</f>
        <v>2334.66666666667</v>
      </c>
      <c r="J22" s="25" t="n">
        <f aca="false">IF(ISNUMBER(L22),L22,IF(COUNT(O22,Q22,S22,U22)&gt;0,MIN(O22,Q22,S22,U22),F22))</f>
        <v>3502</v>
      </c>
      <c r="K22" s="26" t="str">
        <f aca="false">IF(ISNUMBER(L22),"Override",IF(COUNT(O22,Q22,S22,U22)&gt;0,"Low bid","Internal rate"))</f>
        <v>Internal rate</v>
      </c>
      <c r="L22" s="10"/>
      <c r="M22" s="14" t="str">
        <f aca="false">IF(COUNT(O22,Q22,S22,U22)=0,"",MIN(O22,Q22,S22,U22))</f>
        <v/>
      </c>
      <c r="N22" s="6"/>
      <c r="O22" s="27"/>
      <c r="P22" s="6"/>
      <c r="Q22" s="27"/>
      <c r="R22" s="6"/>
      <c r="S22" s="27"/>
      <c r="T22" s="6"/>
      <c r="U22" s="27"/>
      <c r="V22" s="8" t="s">
        <v>116</v>
      </c>
      <c r="W22" s="14" t="n">
        <f aca="false">IF(M22="",F22,M22)</f>
        <v>3502</v>
      </c>
      <c r="X22" s="14" t="n">
        <f aca="false">J22-F22</f>
        <v>0</v>
      </c>
    </row>
    <row r="23" customFormat="false" ht="25.5" hidden="false" customHeight="true" outlineLevel="0" collapsed="false">
      <c r="A23" s="22" t="n">
        <v>14</v>
      </c>
      <c r="B23" s="23" t="s">
        <v>117</v>
      </c>
      <c r="C23" s="30" t="n">
        <v>14</v>
      </c>
      <c r="D23" s="24" t="n">
        <v>85</v>
      </c>
      <c r="E23" s="22" t="s">
        <v>115</v>
      </c>
      <c r="F23" s="14" t="n">
        <f aca="false">C23*D23</f>
        <v>1190</v>
      </c>
      <c r="G23" s="16" t="n">
        <f aca="false">IF(GRANDCAR=0,0,J23/GRANDCAR)</f>
        <v>0.00436868772807349</v>
      </c>
      <c r="H23" s="14" t="n">
        <f aca="false">J23/(1-MARGIN)</f>
        <v>1983.33333333333</v>
      </c>
      <c r="I23" s="14" t="n">
        <f aca="false">H23-J23</f>
        <v>793.333333333334</v>
      </c>
      <c r="J23" s="25" t="n">
        <f aca="false">IF(ISNUMBER(L23),L23,IF(COUNT(O23,Q23,S23,U23)&gt;0,MIN(O23,Q23,S23,U23),F23))</f>
        <v>1190</v>
      </c>
      <c r="K23" s="26" t="str">
        <f aca="false">IF(ISNUMBER(L23),"Override",IF(COUNT(O23,Q23,S23,U23)&gt;0,"Low bid","Internal rate"))</f>
        <v>Internal rate</v>
      </c>
      <c r="L23" s="10"/>
      <c r="M23" s="14" t="str">
        <f aca="false">IF(COUNT(O23,Q23,S23,U23)=0,"",MIN(O23,Q23,S23,U23))</f>
        <v/>
      </c>
      <c r="N23" s="6"/>
      <c r="O23" s="27"/>
      <c r="P23" s="6"/>
      <c r="Q23" s="27"/>
      <c r="R23" s="6"/>
      <c r="S23" s="27"/>
      <c r="T23" s="6"/>
      <c r="U23" s="27"/>
      <c r="V23" s="8" t="s">
        <v>118</v>
      </c>
      <c r="W23" s="14" t="n">
        <f aca="false">IF(M23="",F23,M23)</f>
        <v>1190</v>
      </c>
      <c r="X23" s="14" t="n">
        <f aca="false">J23-F23</f>
        <v>0</v>
      </c>
    </row>
    <row r="24" customFormat="false" ht="15" hidden="false" customHeight="false" outlineLevel="0" collapsed="false">
      <c r="B24" s="12" t="s">
        <v>119</v>
      </c>
      <c r="F24" s="13" t="n">
        <f aca="false">SUM(F21:F23)</f>
        <v>6692</v>
      </c>
      <c r="G24" s="17" t="n">
        <f aca="false">IF(GRANDCAR=0,0,J24/GRANDCAR)</f>
        <v>0.0245674439296368</v>
      </c>
      <c r="H24" s="13" t="n">
        <f aca="false">SUM(H21:H23)</f>
        <v>11153.3333333333</v>
      </c>
      <c r="I24" s="13" t="n">
        <f aca="false">SUM(I21:I23)</f>
        <v>4461.33333333333</v>
      </c>
      <c r="J24" s="13" t="n">
        <f aca="false">SUM(J21:J23)</f>
        <v>6692</v>
      </c>
    </row>
    <row r="26" customFormat="false" ht="15" hidden="false" customHeight="false" outlineLevel="0" collapsed="false">
      <c r="A26" s="20"/>
      <c r="B26" s="21" t="s">
        <v>120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</row>
    <row r="27" customFormat="false" ht="36" hidden="false" customHeight="true" outlineLevel="0" collapsed="false">
      <c r="A27" s="22" t="n">
        <v>15</v>
      </c>
      <c r="B27" s="23" t="s">
        <v>121</v>
      </c>
      <c r="C27" s="30" t="n">
        <v>20</v>
      </c>
      <c r="D27" s="24" t="n">
        <v>693</v>
      </c>
      <c r="E27" s="22" t="s">
        <v>115</v>
      </c>
      <c r="F27" s="14" t="n">
        <f aca="false">C27*D27</f>
        <v>13860</v>
      </c>
      <c r="G27" s="16" t="n">
        <f aca="false">IF(GRANDCAR=0,0,J27/GRANDCAR)</f>
        <v>0.0398285183602913</v>
      </c>
      <c r="H27" s="14" t="n">
        <f aca="false">J27/(1-MARGIN)</f>
        <v>18081.6833333333</v>
      </c>
      <c r="I27" s="14" t="n">
        <f aca="false">H27-J27</f>
        <v>7232.67333333333</v>
      </c>
      <c r="J27" s="25" t="n">
        <f aca="false">IF(ISNUMBER(L27),L27,IF(COUNT(O27,Q27,S27,U27)&gt;0,MIN(O27,Q27,S27,U27),F27))</f>
        <v>10849.01</v>
      </c>
      <c r="K27" s="26" t="str">
        <f aca="false">IF(ISNUMBER(L27),"Override",IF(COUNT(O27,Q27,S27,U27)&gt;0,"Low bid","Internal rate"))</f>
        <v>Override</v>
      </c>
      <c r="L27" s="10" t="n">
        <v>10849.01</v>
      </c>
      <c r="M27" s="14" t="n">
        <f aca="false">IF(COUNT(O27,Q27,S27,U27)=0,"",MIN(O27,Q27,S27,U27))</f>
        <v>9792.11</v>
      </c>
      <c r="N27" s="29" t="s">
        <v>122</v>
      </c>
      <c r="O27" s="10" t="n">
        <v>9792.11</v>
      </c>
      <c r="P27" s="29" t="s">
        <v>123</v>
      </c>
      <c r="Q27" s="10" t="n">
        <v>10849.01</v>
      </c>
      <c r="R27" s="29" t="s">
        <v>124</v>
      </c>
      <c r="S27" s="27"/>
      <c r="T27" s="6"/>
      <c r="U27" s="27"/>
      <c r="V27" s="8" t="s">
        <v>125</v>
      </c>
      <c r="W27" s="14" t="n">
        <f aca="false">IF(M27="",F27,M27)</f>
        <v>9792.11</v>
      </c>
      <c r="X27" s="14" t="n">
        <f aca="false">J27-F27</f>
        <v>-3010.99</v>
      </c>
    </row>
    <row r="28" customFormat="false" ht="36" hidden="false" customHeight="true" outlineLevel="0" collapsed="false">
      <c r="A28" s="22" t="n">
        <v>16</v>
      </c>
      <c r="B28" s="23" t="s">
        <v>126</v>
      </c>
      <c r="C28" s="30" t="n">
        <v>22</v>
      </c>
      <c r="D28" s="24" t="n">
        <v>693</v>
      </c>
      <c r="E28" s="22" t="s">
        <v>115</v>
      </c>
      <c r="F28" s="14" t="n">
        <f aca="false">C28*D28</f>
        <v>15246</v>
      </c>
      <c r="G28" s="16" t="n">
        <f aca="false">IF(GRANDCAR=0,0,J28/GRANDCAR)</f>
        <v>0.0679165739238316</v>
      </c>
      <c r="H28" s="14" t="n">
        <f aca="false">J28/(1-MARGIN)</f>
        <v>30833.3333333333</v>
      </c>
      <c r="I28" s="14" t="n">
        <f aca="false">H28-J28</f>
        <v>12333.3333333333</v>
      </c>
      <c r="J28" s="25" t="n">
        <f aca="false">IF(ISNUMBER(L28),L28,IF(COUNT(O28,Q28,S28,U28)&gt;0,MIN(O28,Q28,S28,U28),F28))</f>
        <v>18500</v>
      </c>
      <c r="K28" s="26" t="str">
        <f aca="false">IF(ISNUMBER(L28),"Override",IF(COUNT(O28,Q28,S28,U28)&gt;0,"Low bid","Internal rate"))</f>
        <v>Override</v>
      </c>
      <c r="L28" s="10" t="n">
        <v>18500</v>
      </c>
      <c r="M28" s="14" t="n">
        <f aca="false">IF(COUNT(O28,Q28,S28,U28)=0,"",MIN(O28,Q28,S28,U28))</f>
        <v>18000</v>
      </c>
      <c r="N28" s="29" t="s">
        <v>127</v>
      </c>
      <c r="O28" s="10" t="n">
        <v>18000</v>
      </c>
      <c r="P28" s="29" t="s">
        <v>128</v>
      </c>
      <c r="Q28" s="10" t="n">
        <v>29000</v>
      </c>
      <c r="R28" s="29" t="s">
        <v>129</v>
      </c>
      <c r="S28" s="10" t="n">
        <v>18500</v>
      </c>
      <c r="T28" s="6"/>
      <c r="U28" s="27"/>
      <c r="V28" s="8" t="s">
        <v>130</v>
      </c>
      <c r="W28" s="14" t="n">
        <f aca="false">IF(M28="",F28,M28)</f>
        <v>18000</v>
      </c>
      <c r="X28" s="14" t="n">
        <f aca="false">J28-F28</f>
        <v>3254</v>
      </c>
    </row>
    <row r="29" customFormat="false" ht="15" hidden="false" customHeight="false" outlineLevel="0" collapsed="false">
      <c r="B29" s="12" t="s">
        <v>131</v>
      </c>
      <c r="F29" s="13" t="n">
        <f aca="false">SUM(F27:F28)</f>
        <v>29106</v>
      </c>
      <c r="G29" s="17" t="n">
        <f aca="false">IF(GRANDCAR=0,0,J29/GRANDCAR)</f>
        <v>0.107745092284123</v>
      </c>
      <c r="H29" s="13" t="n">
        <f aca="false">SUM(H27:H28)</f>
        <v>48915.0166666667</v>
      </c>
      <c r="I29" s="13" t="n">
        <f aca="false">SUM(I27:I28)</f>
        <v>19566.0066666667</v>
      </c>
      <c r="J29" s="13" t="n">
        <f aca="false">SUM(J27:J28)</f>
        <v>29349.01</v>
      </c>
    </row>
    <row r="31" customFormat="false" ht="15" hidden="false" customHeight="false" outlineLevel="0" collapsed="false">
      <c r="A31" s="20"/>
      <c r="B31" s="21" t="s">
        <v>132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</row>
    <row r="32" customFormat="false" ht="36" hidden="false" customHeight="true" outlineLevel="0" collapsed="false">
      <c r="A32" s="22" t="n">
        <v>17</v>
      </c>
      <c r="B32" s="23" t="s">
        <v>133</v>
      </c>
      <c r="C32" s="30" t="n">
        <v>8</v>
      </c>
      <c r="D32" s="24" t="n">
        <v>1200</v>
      </c>
      <c r="E32" s="22" t="s">
        <v>115</v>
      </c>
      <c r="F32" s="14" t="n">
        <f aca="false">C32*D32</f>
        <v>9600</v>
      </c>
      <c r="G32" s="16" t="n">
        <f aca="false">IF(GRANDCAR=0,0,J32/GRANDCAR)</f>
        <v>0.0226694510259276</v>
      </c>
      <c r="H32" s="14" t="n">
        <f aca="false">J32/(1-MARGIN)</f>
        <v>10291.6666666667</v>
      </c>
      <c r="I32" s="14" t="n">
        <f aca="false">H32-J32</f>
        <v>4116.66666666667</v>
      </c>
      <c r="J32" s="25" t="n">
        <f aca="false">IF(ISNUMBER(L32),L32,IF(COUNT(O32,Q32,S32,U32)&gt;0,MIN(O32,Q32,S32,U32),F32))</f>
        <v>6175</v>
      </c>
      <c r="K32" s="26" t="str">
        <f aca="false">IF(ISNUMBER(L32),"Override",IF(COUNT(O32,Q32,S32,U32)&gt;0,"Low bid","Internal rate"))</f>
        <v>Override</v>
      </c>
      <c r="L32" s="10" t="n">
        <v>6175</v>
      </c>
      <c r="M32" s="14" t="n">
        <f aca="false">IF(COUNT(O32,Q32,S32,U32)=0,"",MIN(O32,Q32,S32,U32))</f>
        <v>3800</v>
      </c>
      <c r="N32" s="29" t="s">
        <v>134</v>
      </c>
      <c r="O32" s="10" t="n">
        <v>6175</v>
      </c>
      <c r="P32" s="29" t="s">
        <v>135</v>
      </c>
      <c r="Q32" s="10" t="n">
        <v>3800</v>
      </c>
      <c r="R32" s="29" t="s">
        <v>136</v>
      </c>
      <c r="S32" s="10" t="n">
        <v>5500</v>
      </c>
      <c r="T32" s="29" t="s">
        <v>137</v>
      </c>
      <c r="U32" s="10" t="n">
        <v>6350</v>
      </c>
      <c r="V32" s="8" t="s">
        <v>138</v>
      </c>
      <c r="W32" s="14" t="n">
        <f aca="false">IF(M32="",F32,M32)</f>
        <v>3800</v>
      </c>
      <c r="X32" s="14" t="n">
        <f aca="false">J32-F32</f>
        <v>-3425</v>
      </c>
    </row>
    <row r="33" customFormat="false" ht="36" hidden="false" customHeight="true" outlineLevel="0" collapsed="false">
      <c r="A33" s="22" t="n">
        <v>18</v>
      </c>
      <c r="B33" s="23" t="s">
        <v>139</v>
      </c>
      <c r="C33" s="10" t="n">
        <v>9400</v>
      </c>
      <c r="D33" s="24" t="n">
        <v>1</v>
      </c>
      <c r="E33" s="22" t="s">
        <v>83</v>
      </c>
      <c r="F33" s="14" t="n">
        <f aca="false">C33*D33</f>
        <v>9400</v>
      </c>
      <c r="G33" s="16" t="n">
        <f aca="false">IF(GRANDCAR=0,0,J33/GRANDCAR)</f>
        <v>0.0305624582657242</v>
      </c>
      <c r="H33" s="14" t="n">
        <f aca="false">J33/(1-MARGIN)</f>
        <v>13875</v>
      </c>
      <c r="I33" s="14" t="n">
        <f aca="false">H33-J33</f>
        <v>5550</v>
      </c>
      <c r="J33" s="25" t="n">
        <f aca="false">IF(ISNUMBER(L33),L33,IF(COUNT(O33,Q33,S33,U33)&gt;0,MIN(O33,Q33,S33,U33),F33))</f>
        <v>8325</v>
      </c>
      <c r="K33" s="26" t="str">
        <f aca="false">IF(ISNUMBER(L33),"Override",IF(COUNT(O33,Q33,S33,U33)&gt;0,"Low bid","Internal rate"))</f>
        <v>Override</v>
      </c>
      <c r="L33" s="10" t="n">
        <v>8325</v>
      </c>
      <c r="M33" s="14" t="n">
        <f aca="false">IF(COUNT(O33,Q33,S33,U33)=0,"",MIN(O33,Q33,S33,U33))</f>
        <v>3800</v>
      </c>
      <c r="N33" s="29" t="s">
        <v>134</v>
      </c>
      <c r="O33" s="10" t="n">
        <v>8325</v>
      </c>
      <c r="P33" s="29" t="s">
        <v>135</v>
      </c>
      <c r="Q33" s="10" t="n">
        <v>3800</v>
      </c>
      <c r="R33" s="6"/>
      <c r="S33" s="27"/>
      <c r="T33" s="6"/>
      <c r="U33" s="27"/>
      <c r="V33" s="8" t="s">
        <v>140</v>
      </c>
      <c r="W33" s="14" t="n">
        <f aca="false">IF(M33="",F33,M33)</f>
        <v>3800</v>
      </c>
      <c r="X33" s="14" t="n">
        <f aca="false">J33-F33</f>
        <v>-1075</v>
      </c>
    </row>
    <row r="34" customFormat="false" ht="36" hidden="false" customHeight="true" outlineLevel="0" collapsed="false">
      <c r="A34" s="22" t="n">
        <v>19</v>
      </c>
      <c r="B34" s="23" t="s">
        <v>141</v>
      </c>
      <c r="C34" s="10" t="n">
        <v>28600</v>
      </c>
      <c r="D34" s="24" t="n">
        <v>1</v>
      </c>
      <c r="E34" s="22" t="s">
        <v>83</v>
      </c>
      <c r="F34" s="14" t="n">
        <f aca="false">C34*D34</f>
        <v>28600</v>
      </c>
      <c r="G34" s="16" t="n">
        <f aca="false">IF(GRANDCAR=0,0,J34/GRANDCAR)</f>
        <v>0.132161981689618</v>
      </c>
      <c r="H34" s="14" t="n">
        <f aca="false">J34/(1-MARGIN)</f>
        <v>60000</v>
      </c>
      <c r="I34" s="14" t="n">
        <f aca="false">H34-J34</f>
        <v>24000</v>
      </c>
      <c r="J34" s="25" t="n">
        <f aca="false">IF(ISNUMBER(L34),L34,IF(COUNT(O34,Q34,S34,U34)&gt;0,MIN(O34,Q34,S34,U34),F34))</f>
        <v>36000</v>
      </c>
      <c r="K34" s="26" t="str">
        <f aca="false">IF(ISNUMBER(L34),"Override",IF(COUNT(O34,Q34,S34,U34)&gt;0,"Low bid","Internal rate"))</f>
        <v>Low bid</v>
      </c>
      <c r="L34" s="10"/>
      <c r="M34" s="14" t="n">
        <f aca="false">IF(COUNT(O34,Q34,S34,U34)=0,"",MIN(O34,Q34,S34,U34))</f>
        <v>36000</v>
      </c>
      <c r="N34" s="29" t="s">
        <v>134</v>
      </c>
      <c r="O34" s="10" t="n">
        <v>36000</v>
      </c>
      <c r="P34" s="29" t="s">
        <v>142</v>
      </c>
      <c r="Q34" s="27"/>
      <c r="R34" s="6"/>
      <c r="S34" s="27"/>
      <c r="T34" s="6"/>
      <c r="U34" s="27"/>
      <c r="V34" s="8" t="s">
        <v>143</v>
      </c>
      <c r="W34" s="14" t="n">
        <f aca="false">IF(M34="",F34,M34)</f>
        <v>36000</v>
      </c>
      <c r="X34" s="14" t="n">
        <f aca="false">J34-F34</f>
        <v>7400</v>
      </c>
    </row>
    <row r="35" customFormat="false" ht="36" hidden="false" customHeight="true" outlineLevel="0" collapsed="false">
      <c r="A35" s="22" t="n">
        <v>20</v>
      </c>
      <c r="B35" s="23" t="s">
        <v>144</v>
      </c>
      <c r="C35" s="10" t="n">
        <v>110</v>
      </c>
      <c r="D35" s="24" t="n">
        <v>80</v>
      </c>
      <c r="E35" s="22" t="s">
        <v>115</v>
      </c>
      <c r="F35" s="14" t="n">
        <f aca="false">C35*D35</f>
        <v>8800</v>
      </c>
      <c r="G35" s="16" t="n">
        <f aca="false">IF(GRANDCAR=0,0,J35/GRANDCAR)</f>
        <v>0.0203566163463593</v>
      </c>
      <c r="H35" s="14" t="n">
        <f aca="false">J35/(1-MARGIN)</f>
        <v>9241.66666666667</v>
      </c>
      <c r="I35" s="14" t="n">
        <f aca="false">H35-J35</f>
        <v>3696.66666666667</v>
      </c>
      <c r="J35" s="25" t="n">
        <f aca="false">IF(ISNUMBER(L35),L35,IF(COUNT(O35,Q35,S35,U35)&gt;0,MIN(O35,Q35,S35,U35),F35))</f>
        <v>5545</v>
      </c>
      <c r="K35" s="26" t="str">
        <f aca="false">IF(ISNUMBER(L35),"Override",IF(COUNT(O35,Q35,S35,U35)&gt;0,"Low bid","Internal rate"))</f>
        <v>Override</v>
      </c>
      <c r="L35" s="10" t="n">
        <v>5545</v>
      </c>
      <c r="M35" s="14" t="n">
        <f aca="false">IF(COUNT(O35,Q35,S35,U35)=0,"",MIN(O35,Q35,S35,U35))</f>
        <v>5221.24</v>
      </c>
      <c r="N35" s="29" t="s">
        <v>145</v>
      </c>
      <c r="O35" s="10" t="n">
        <v>5545</v>
      </c>
      <c r="P35" s="29" t="s">
        <v>146</v>
      </c>
      <c r="Q35" s="10" t="n">
        <v>5221.24</v>
      </c>
      <c r="R35" s="6"/>
      <c r="S35" s="27"/>
      <c r="T35" s="6"/>
      <c r="U35" s="27"/>
      <c r="V35" s="8" t="s">
        <v>147</v>
      </c>
      <c r="W35" s="14" t="n">
        <f aca="false">IF(M35="",F35,M35)</f>
        <v>5221.24</v>
      </c>
      <c r="X35" s="14" t="n">
        <f aca="false">J35-F35</f>
        <v>-3255</v>
      </c>
    </row>
    <row r="36" customFormat="false" ht="15" hidden="false" customHeight="false" outlineLevel="0" collapsed="false">
      <c r="B36" s="12" t="s">
        <v>148</v>
      </c>
      <c r="F36" s="13" t="n">
        <f aca="false">SUM(F32:F35)</f>
        <v>56400</v>
      </c>
      <c r="G36" s="17" t="n">
        <f aca="false">IF(GRANDCAR=0,0,J36/GRANDCAR)</f>
        <v>0.205750507327629</v>
      </c>
      <c r="H36" s="13" t="n">
        <f aca="false">SUM(H32:H35)</f>
        <v>93408.3333333333</v>
      </c>
      <c r="I36" s="13" t="n">
        <f aca="false">SUM(I32:I35)</f>
        <v>37363.3333333333</v>
      </c>
      <c r="J36" s="13" t="n">
        <f aca="false">SUM(J32:J35)</f>
        <v>56045</v>
      </c>
    </row>
    <row r="38" customFormat="false" ht="15" hidden="false" customHeight="false" outlineLevel="0" collapsed="false">
      <c r="A38" s="20"/>
      <c r="B38" s="21" t="s">
        <v>149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</row>
    <row r="39" customFormat="false" ht="36" hidden="false" customHeight="true" outlineLevel="0" collapsed="false">
      <c r="A39" s="22" t="n">
        <v>21</v>
      </c>
      <c r="B39" s="23" t="s">
        <v>150</v>
      </c>
      <c r="C39" s="10" t="n">
        <v>10000</v>
      </c>
      <c r="D39" s="24" t="n">
        <v>1</v>
      </c>
      <c r="E39" s="22" t="s">
        <v>83</v>
      </c>
      <c r="F39" s="14" t="n">
        <f aca="false">C39*D39</f>
        <v>10000</v>
      </c>
      <c r="G39" s="16" t="n">
        <f aca="false">IF(GRANDCAR=0,0,J39/GRANDCAR)</f>
        <v>0.0308377957275776</v>
      </c>
      <c r="H39" s="14" t="n">
        <f aca="false">J39/(1-MARGIN)</f>
        <v>14000</v>
      </c>
      <c r="I39" s="14" t="n">
        <f aca="false">H39-J39</f>
        <v>5600</v>
      </c>
      <c r="J39" s="25" t="n">
        <f aca="false">IF(ISNUMBER(L39),L39,IF(COUNT(O39,Q39,S39,U39)&gt;0,MIN(O39,Q39,S39,U39),F39))</f>
        <v>8400</v>
      </c>
      <c r="K39" s="26" t="str">
        <f aca="false">IF(ISNUMBER(L39),"Override",IF(COUNT(O39,Q39,S39,U39)&gt;0,"Low bid","Internal rate"))</f>
        <v>Low bid</v>
      </c>
      <c r="L39" s="10"/>
      <c r="M39" s="14" t="n">
        <f aca="false">IF(COUNT(O39,Q39,S39,U39)=0,"",MIN(O39,Q39,S39,U39))</f>
        <v>8400</v>
      </c>
      <c r="N39" s="29" t="s">
        <v>151</v>
      </c>
      <c r="O39" s="10" t="n">
        <v>8400</v>
      </c>
      <c r="P39" s="29" t="s">
        <v>152</v>
      </c>
      <c r="Q39" s="10" t="n">
        <v>12398</v>
      </c>
      <c r="R39" s="29" t="s">
        <v>153</v>
      </c>
      <c r="S39" s="10" t="n">
        <v>13479</v>
      </c>
      <c r="T39" s="6"/>
      <c r="U39" s="27"/>
      <c r="V39" s="8" t="s">
        <v>154</v>
      </c>
      <c r="W39" s="14" t="n">
        <f aca="false">IF(M39="",F39,M39)</f>
        <v>8400</v>
      </c>
      <c r="X39" s="14" t="n">
        <f aca="false">J39-F39</f>
        <v>-1600</v>
      </c>
    </row>
    <row r="40" customFormat="false" ht="36" hidden="false" customHeight="true" outlineLevel="0" collapsed="false">
      <c r="A40" s="22" t="n">
        <v>22</v>
      </c>
      <c r="B40" s="23" t="s">
        <v>155</v>
      </c>
      <c r="C40" s="10" t="n">
        <v>5500</v>
      </c>
      <c r="D40" s="24" t="n">
        <v>1</v>
      </c>
      <c r="E40" s="22" t="s">
        <v>83</v>
      </c>
      <c r="F40" s="14" t="n">
        <f aca="false">C40*D40</f>
        <v>5500</v>
      </c>
      <c r="G40" s="16" t="n">
        <f aca="false">IF(GRANDCAR=0,0,J40/GRANDCAR)</f>
        <v>0.0165202477112023</v>
      </c>
      <c r="H40" s="14" t="n">
        <f aca="false">J40/(1-MARGIN)</f>
        <v>7500</v>
      </c>
      <c r="I40" s="14" t="n">
        <f aca="false">H40-J40</f>
        <v>3000</v>
      </c>
      <c r="J40" s="25" t="n">
        <f aca="false">IF(ISNUMBER(L40),L40,IF(COUNT(O40,Q40,S40,U40)&gt;0,MIN(O40,Q40,S40,U40),F40))</f>
        <v>4500</v>
      </c>
      <c r="K40" s="26" t="str">
        <f aca="false">IF(ISNUMBER(L40),"Override",IF(COUNT(O40,Q40,S40,U40)&gt;0,"Low bid","Internal rate"))</f>
        <v>Low bid</v>
      </c>
      <c r="L40" s="10"/>
      <c r="M40" s="14" t="n">
        <f aca="false">IF(COUNT(O40,Q40,S40,U40)=0,"",MIN(O40,Q40,S40,U40))</f>
        <v>4500</v>
      </c>
      <c r="N40" s="29" t="s">
        <v>156</v>
      </c>
      <c r="O40" s="10" t="n">
        <v>4500</v>
      </c>
      <c r="P40" s="29" t="s">
        <v>157</v>
      </c>
      <c r="Q40" s="27"/>
      <c r="R40" s="6"/>
      <c r="S40" s="27"/>
      <c r="T40" s="6"/>
      <c r="U40" s="27"/>
      <c r="V40" s="8" t="s">
        <v>158</v>
      </c>
      <c r="W40" s="14" t="n">
        <f aca="false">IF(M40="",F40,M40)</f>
        <v>4500</v>
      </c>
      <c r="X40" s="14" t="n">
        <f aca="false">J40-F40</f>
        <v>-1000</v>
      </c>
    </row>
    <row r="41" customFormat="false" ht="25.5" hidden="false" customHeight="true" outlineLevel="0" collapsed="false">
      <c r="A41" s="22" t="n">
        <v>23</v>
      </c>
      <c r="B41" s="23" t="s">
        <v>159</v>
      </c>
      <c r="C41" s="10" t="n">
        <v>2000</v>
      </c>
      <c r="D41" s="24" t="n">
        <v>1</v>
      </c>
      <c r="E41" s="22" t="s">
        <v>83</v>
      </c>
      <c r="F41" s="14" t="n">
        <f aca="false">C41*D41</f>
        <v>2000</v>
      </c>
      <c r="G41" s="16" t="n">
        <f aca="false">IF(GRANDCAR=0,0,J41/GRANDCAR)</f>
        <v>0.0073423323160899</v>
      </c>
      <c r="H41" s="14" t="n">
        <f aca="false">J41/(1-MARGIN)</f>
        <v>3333.33333333333</v>
      </c>
      <c r="I41" s="14" t="n">
        <f aca="false">H41-J41</f>
        <v>1333.33333333333</v>
      </c>
      <c r="J41" s="25" t="n">
        <f aca="false">IF(ISNUMBER(L41),L41,IF(COUNT(O41,Q41,S41,U41)&gt;0,MIN(O41,Q41,S41,U41),F41))</f>
        <v>2000</v>
      </c>
      <c r="K41" s="26" t="str">
        <f aca="false">IF(ISNUMBER(L41),"Override",IF(COUNT(O41,Q41,S41,U41)&gt;0,"Low bid","Internal rate"))</f>
        <v>Internal rate</v>
      </c>
      <c r="L41" s="10"/>
      <c r="M41" s="14" t="str">
        <f aca="false">IF(COUNT(O41,Q41,S41,U41)=0,"",MIN(O41,Q41,S41,U41))</f>
        <v/>
      </c>
      <c r="N41" s="6"/>
      <c r="O41" s="27"/>
      <c r="P41" s="6"/>
      <c r="Q41" s="27"/>
      <c r="R41" s="6"/>
      <c r="S41" s="27"/>
      <c r="T41" s="6"/>
      <c r="U41" s="27"/>
      <c r="V41" s="8" t="s">
        <v>160</v>
      </c>
      <c r="W41" s="14" t="n">
        <f aca="false">IF(M41="",F41,M41)</f>
        <v>2000</v>
      </c>
      <c r="X41" s="14" t="n">
        <f aca="false">J41-F41</f>
        <v>0</v>
      </c>
    </row>
    <row r="42" customFormat="false" ht="25.5" hidden="false" customHeight="true" outlineLevel="0" collapsed="false">
      <c r="A42" s="22" t="n">
        <v>24</v>
      </c>
      <c r="B42" s="23" t="s">
        <v>161</v>
      </c>
      <c r="C42" s="30" t="n">
        <v>3</v>
      </c>
      <c r="D42" s="24" t="n">
        <v>700</v>
      </c>
      <c r="E42" s="22" t="s">
        <v>115</v>
      </c>
      <c r="F42" s="14" t="n">
        <f aca="false">C42*D42</f>
        <v>2100</v>
      </c>
      <c r="G42" s="16" t="n">
        <f aca="false">IF(GRANDCAR=0,0,J42/GRANDCAR)</f>
        <v>0.00857951531135105</v>
      </c>
      <c r="H42" s="14" t="n">
        <f aca="false">J42/(1-MARGIN)</f>
        <v>3895</v>
      </c>
      <c r="I42" s="14" t="n">
        <f aca="false">H42-J42</f>
        <v>1558</v>
      </c>
      <c r="J42" s="25" t="n">
        <f aca="false">IF(ISNUMBER(L42),L42,IF(COUNT(O42,Q42,S42,U42)&gt;0,MIN(O42,Q42,S42,U42),F42))</f>
        <v>2337</v>
      </c>
      <c r="K42" s="26" t="str">
        <f aca="false">IF(ISNUMBER(L42),"Override",IF(COUNT(O42,Q42,S42,U42)&gt;0,"Low bid","Internal rate"))</f>
        <v>Low bid</v>
      </c>
      <c r="L42" s="10"/>
      <c r="M42" s="14" t="n">
        <f aca="false">IF(COUNT(O42,Q42,S42,U42)=0,"",MIN(O42,Q42,S42,U42))</f>
        <v>2337</v>
      </c>
      <c r="N42" s="29" t="s">
        <v>162</v>
      </c>
      <c r="O42" s="10" t="n">
        <v>2337</v>
      </c>
      <c r="P42" s="6"/>
      <c r="Q42" s="27"/>
      <c r="R42" s="6"/>
      <c r="S42" s="27"/>
      <c r="T42" s="6"/>
      <c r="U42" s="27"/>
      <c r="V42" s="8" t="s">
        <v>163</v>
      </c>
      <c r="W42" s="14" t="n">
        <f aca="false">IF(M42="",F42,M42)</f>
        <v>2337</v>
      </c>
      <c r="X42" s="14" t="n">
        <f aca="false">J42-F42</f>
        <v>237</v>
      </c>
    </row>
    <row r="43" customFormat="false" ht="15" hidden="false" customHeight="false" outlineLevel="0" collapsed="false">
      <c r="B43" s="12" t="s">
        <v>164</v>
      </c>
      <c r="F43" s="13" t="n">
        <f aca="false">SUM(F39:F42)</f>
        <v>19600</v>
      </c>
      <c r="G43" s="17" t="n">
        <f aca="false">IF(GRANDCAR=0,0,J43/GRANDCAR)</f>
        <v>0.0632798910662208</v>
      </c>
      <c r="H43" s="13" t="n">
        <f aca="false">SUM(H39:H42)</f>
        <v>28728.3333333333</v>
      </c>
      <c r="I43" s="13" t="n">
        <f aca="false">SUM(I39:I42)</f>
        <v>11491.3333333333</v>
      </c>
      <c r="J43" s="13" t="n">
        <f aca="false">SUM(J39:J42)</f>
        <v>17237</v>
      </c>
    </row>
    <row r="45" customFormat="false" ht="15" hidden="false" customHeight="false" outlineLevel="0" collapsed="false">
      <c r="A45" s="20"/>
      <c r="B45" s="21" t="s">
        <v>165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</row>
    <row r="46" customFormat="false" ht="36" hidden="false" customHeight="true" outlineLevel="0" collapsed="false">
      <c r="A46" s="22" t="n">
        <v>25</v>
      </c>
      <c r="B46" s="23" t="s">
        <v>166</v>
      </c>
      <c r="C46" s="11" t="n">
        <f aca="false">FVBUILD</f>
        <v>53550.9</v>
      </c>
      <c r="D46" s="24" t="n">
        <v>1</v>
      </c>
      <c r="E46" s="22" t="s">
        <v>83</v>
      </c>
      <c r="F46" s="14" t="n">
        <f aca="false">C46*D46</f>
        <v>53550.9</v>
      </c>
      <c r="G46" s="16" t="n">
        <f aca="false">IF(GRANDCAR=0,0,J46/GRANDCAR)</f>
        <v>0.137668730926686</v>
      </c>
      <c r="H46" s="14" t="n">
        <f aca="false">J46/(1-MARGIN)</f>
        <v>62500</v>
      </c>
      <c r="I46" s="14" t="n">
        <f aca="false">H46-J46</f>
        <v>25000</v>
      </c>
      <c r="J46" s="25" t="n">
        <f aca="false">IF(ISNUMBER(L46),L46,IF(COUNT(O46,Q46,S46,U46)&gt;0,MIN(O46,Q46,S46,U46),F46))</f>
        <v>37500</v>
      </c>
      <c r="K46" s="26" t="str">
        <f aca="false">IF(ISNUMBER(L46),"Override",IF(COUNT(O46,Q46,S46,U46)&gt;0,"Low bid","Internal rate"))</f>
        <v>Override</v>
      </c>
      <c r="L46" s="10" t="n">
        <v>37500</v>
      </c>
      <c r="M46" s="14" t="n">
        <f aca="false">IF(COUNT(O46,Q46,S46,U46)=0,"",MIN(O46,Q46,S46,U46))</f>
        <v>78000</v>
      </c>
      <c r="N46" s="29" t="s">
        <v>167</v>
      </c>
      <c r="O46" s="10" t="n">
        <v>78000</v>
      </c>
      <c r="P46" s="29" t="s">
        <v>168</v>
      </c>
      <c r="Q46" s="10" t="n">
        <v>109500</v>
      </c>
      <c r="R46" s="6"/>
      <c r="S46" s="27"/>
      <c r="T46" s="6"/>
      <c r="U46" s="27"/>
      <c r="V46" s="8" t="s">
        <v>169</v>
      </c>
      <c r="W46" s="14" t="n">
        <f aca="false">L46</f>
        <v>37500</v>
      </c>
      <c r="X46" s="14" t="n">
        <f aca="false">J46-F46</f>
        <v>-16050.9</v>
      </c>
    </row>
    <row r="47" customFormat="false" ht="15" hidden="false" customHeight="false" outlineLevel="0" collapsed="false">
      <c r="B47" s="12" t="s">
        <v>170</v>
      </c>
      <c r="F47" s="13" t="n">
        <f aca="false">SUM(F46:F46)</f>
        <v>53550.9</v>
      </c>
      <c r="G47" s="17" t="n">
        <f aca="false">IF(GRANDCAR=0,0,J47/GRANDCAR)</f>
        <v>0.137668730926686</v>
      </c>
      <c r="H47" s="13" t="n">
        <f aca="false">SUM(H46:H46)</f>
        <v>62500</v>
      </c>
      <c r="I47" s="13" t="n">
        <f aca="false">SUM(I46:I46)</f>
        <v>25000</v>
      </c>
      <c r="J47" s="13" t="n">
        <f aca="false">SUM(J46:J46)</f>
        <v>37500</v>
      </c>
    </row>
    <row r="49" customFormat="false" ht="15" hidden="false" customHeight="false" outlineLevel="0" collapsed="false">
      <c r="A49" s="20"/>
      <c r="B49" s="21" t="s">
        <v>171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</row>
    <row r="50" customFormat="false" ht="25.5" hidden="false" customHeight="true" outlineLevel="0" collapsed="false">
      <c r="A50" s="22" t="n">
        <v>26</v>
      </c>
      <c r="B50" s="23" t="s">
        <v>172</v>
      </c>
      <c r="C50" s="10" t="n">
        <v>1200</v>
      </c>
      <c r="D50" s="24" t="n">
        <v>1</v>
      </c>
      <c r="E50" s="22" t="s">
        <v>83</v>
      </c>
      <c r="F50" s="14" t="n">
        <f aca="false">C50*D50</f>
        <v>1200</v>
      </c>
      <c r="G50" s="16" t="n">
        <f aca="false">IF(GRANDCAR=0,0,J50/GRANDCAR)</f>
        <v>0.00440539938965394</v>
      </c>
      <c r="H50" s="14" t="n">
        <f aca="false">J50/(1-MARGIN)</f>
        <v>2000</v>
      </c>
      <c r="I50" s="14" t="n">
        <f aca="false">H50-J50</f>
        <v>800</v>
      </c>
      <c r="J50" s="25" t="n">
        <f aca="false">IF(ISNUMBER(L50),L50,IF(COUNT(O50,Q50,S50,U50)&gt;0,MIN(O50,Q50,S50,U50),F50))</f>
        <v>1200</v>
      </c>
      <c r="K50" s="26" t="str">
        <f aca="false">IF(ISNUMBER(L50),"Override",IF(COUNT(O50,Q50,S50,U50)&gt;0,"Low bid","Internal rate"))</f>
        <v>Internal rate</v>
      </c>
      <c r="L50" s="10"/>
      <c r="M50" s="14" t="str">
        <f aca="false">IF(COUNT(O50,Q50,S50,U50)=0,"",MIN(O50,Q50,S50,U50))</f>
        <v/>
      </c>
      <c r="N50" s="6"/>
      <c r="O50" s="27"/>
      <c r="P50" s="6"/>
      <c r="Q50" s="27"/>
      <c r="R50" s="6"/>
      <c r="S50" s="27"/>
      <c r="T50" s="6"/>
      <c r="U50" s="27"/>
      <c r="V50" s="8" t="s">
        <v>173</v>
      </c>
      <c r="W50" s="14" t="n">
        <f aca="false">IF(M50="",F50,M50)</f>
        <v>1200</v>
      </c>
      <c r="X50" s="14" t="n">
        <f aca="false">J50-F50</f>
        <v>0</v>
      </c>
    </row>
    <row r="51" customFormat="false" ht="25.5" hidden="false" customHeight="true" outlineLevel="0" collapsed="false">
      <c r="A51" s="22" t="n">
        <v>27</v>
      </c>
      <c r="B51" s="23" t="s">
        <v>174</v>
      </c>
      <c r="C51" s="10" t="n">
        <v>400</v>
      </c>
      <c r="D51" s="24" t="n">
        <v>1</v>
      </c>
      <c r="E51" s="22" t="s">
        <v>83</v>
      </c>
      <c r="F51" s="14" t="n">
        <f aca="false">C51*D51</f>
        <v>400</v>
      </c>
      <c r="G51" s="16" t="n">
        <f aca="false">IF(GRANDCAR=0,0,J51/GRANDCAR)</f>
        <v>0.00146846646321798</v>
      </c>
      <c r="H51" s="14" t="n">
        <f aca="false">J51/(1-MARGIN)</f>
        <v>666.666666666667</v>
      </c>
      <c r="I51" s="14" t="n">
        <f aca="false">H51-J51</f>
        <v>266.666666666667</v>
      </c>
      <c r="J51" s="25" t="n">
        <f aca="false">IF(ISNUMBER(L51),L51,IF(COUNT(O51,Q51,S51,U51)&gt;0,MIN(O51,Q51,S51,U51),F51))</f>
        <v>400</v>
      </c>
      <c r="K51" s="26" t="str">
        <f aca="false">IF(ISNUMBER(L51),"Override",IF(COUNT(O51,Q51,S51,U51)&gt;0,"Low bid","Internal rate"))</f>
        <v>Internal rate</v>
      </c>
      <c r="L51" s="10"/>
      <c r="M51" s="14" t="str">
        <f aca="false">IF(COUNT(O51,Q51,S51,U51)=0,"",MIN(O51,Q51,S51,U51))</f>
        <v/>
      </c>
      <c r="N51" s="6"/>
      <c r="O51" s="27"/>
      <c r="P51" s="6"/>
      <c r="Q51" s="27"/>
      <c r="R51" s="6"/>
      <c r="S51" s="27"/>
      <c r="T51" s="6"/>
      <c r="U51" s="27"/>
      <c r="V51" s="8" t="s">
        <v>175</v>
      </c>
      <c r="W51" s="14" t="n">
        <f aca="false">IF(M51="",F51,M51)</f>
        <v>400</v>
      </c>
      <c r="X51" s="14" t="n">
        <f aca="false">J51-F51</f>
        <v>0</v>
      </c>
    </row>
    <row r="52" customFormat="false" ht="25.5" hidden="false" customHeight="true" outlineLevel="0" collapsed="false">
      <c r="A52" s="22" t="n">
        <v>28</v>
      </c>
      <c r="B52" s="23" t="s">
        <v>176</v>
      </c>
      <c r="C52" s="30" t="n">
        <v>4.5</v>
      </c>
      <c r="D52" s="24" t="n">
        <v>600</v>
      </c>
      <c r="E52" s="22" t="s">
        <v>115</v>
      </c>
      <c r="F52" s="14" t="n">
        <f aca="false">C52*D52</f>
        <v>2700</v>
      </c>
      <c r="G52" s="16" t="n">
        <f aca="false">IF(GRANDCAR=0,0,J52/GRANDCAR)</f>
        <v>0.00826012385560114</v>
      </c>
      <c r="H52" s="14" t="n">
        <f aca="false">J52/(1-MARGIN)</f>
        <v>3750</v>
      </c>
      <c r="I52" s="14" t="n">
        <f aca="false">H52-J52</f>
        <v>1500</v>
      </c>
      <c r="J52" s="25" t="n">
        <f aca="false">IF(ISNUMBER(L52),L52,IF(COUNT(O52,Q52,S52,U52)&gt;0,MIN(O52,Q52,S52,U52),F52))</f>
        <v>2250</v>
      </c>
      <c r="K52" s="26" t="str">
        <f aca="false">IF(ISNUMBER(L52),"Override",IF(COUNT(O52,Q52,S52,U52)&gt;0,"Low bid","Internal rate"))</f>
        <v>Low bid</v>
      </c>
      <c r="L52" s="10"/>
      <c r="M52" s="14" t="n">
        <f aca="false">IF(COUNT(O52,Q52,S52,U52)=0,"",MIN(O52,Q52,S52,U52))</f>
        <v>2250</v>
      </c>
      <c r="N52" s="29" t="s">
        <v>177</v>
      </c>
      <c r="O52" s="10" t="n">
        <v>2250</v>
      </c>
      <c r="P52" s="6"/>
      <c r="Q52" s="27"/>
      <c r="R52" s="6"/>
      <c r="S52" s="27"/>
      <c r="T52" s="6"/>
      <c r="U52" s="27"/>
      <c r="V52" s="8" t="s">
        <v>178</v>
      </c>
      <c r="W52" s="14" t="n">
        <f aca="false">IF(M52="",F52,M52)</f>
        <v>2250</v>
      </c>
      <c r="X52" s="14" t="n">
        <f aca="false">J52-F52</f>
        <v>-450</v>
      </c>
    </row>
    <row r="53" customFormat="false" ht="25.5" hidden="false" customHeight="true" outlineLevel="0" collapsed="false">
      <c r="A53" s="22" t="n">
        <v>29</v>
      </c>
      <c r="B53" s="23" t="s">
        <v>179</v>
      </c>
      <c r="C53" s="10" t="n">
        <v>5000</v>
      </c>
      <c r="D53" s="24" t="n">
        <v>1</v>
      </c>
      <c r="E53" s="22" t="s">
        <v>83</v>
      </c>
      <c r="F53" s="14" t="n">
        <f aca="false">C53*D53</f>
        <v>5000</v>
      </c>
      <c r="G53" s="16" t="n">
        <f aca="false">IF(GRANDCAR=0,0,J53/GRANDCAR)</f>
        <v>0.0183558307902248</v>
      </c>
      <c r="H53" s="14" t="n">
        <f aca="false">J53/(1-MARGIN)</f>
        <v>8333.33333333333</v>
      </c>
      <c r="I53" s="14" t="n">
        <f aca="false">H53-J53</f>
        <v>3333.33333333333</v>
      </c>
      <c r="J53" s="25" t="n">
        <f aca="false">IF(ISNUMBER(L53),L53,IF(COUNT(O53,Q53,S53,U53)&gt;0,MIN(O53,Q53,S53,U53),F53))</f>
        <v>5000</v>
      </c>
      <c r="K53" s="26" t="str">
        <f aca="false">IF(ISNUMBER(L53),"Override",IF(COUNT(O53,Q53,S53,U53)&gt;0,"Low bid","Internal rate"))</f>
        <v>Internal rate</v>
      </c>
      <c r="L53" s="10"/>
      <c r="M53" s="14" t="str">
        <f aca="false">IF(COUNT(O53,Q53,S53,U53)=0,"",MIN(O53,Q53,S53,U53))</f>
        <v/>
      </c>
      <c r="N53" s="6"/>
      <c r="O53" s="27"/>
      <c r="P53" s="6"/>
      <c r="Q53" s="27"/>
      <c r="R53" s="6"/>
      <c r="S53" s="27"/>
      <c r="T53" s="6"/>
      <c r="U53" s="27"/>
      <c r="V53" s="8" t="s">
        <v>180</v>
      </c>
      <c r="W53" s="14" t="n">
        <f aca="false">IF(M53="",F53,M53)</f>
        <v>5000</v>
      </c>
      <c r="X53" s="14" t="n">
        <f aca="false">J53-F53</f>
        <v>0</v>
      </c>
    </row>
    <row r="54" customFormat="false" ht="36" hidden="false" customHeight="true" outlineLevel="0" collapsed="false">
      <c r="A54" s="22" t="n">
        <v>30</v>
      </c>
      <c r="B54" s="23" t="s">
        <v>181</v>
      </c>
      <c r="C54" s="10" t="n">
        <v>4500</v>
      </c>
      <c r="D54" s="24" t="n">
        <v>1</v>
      </c>
      <c r="E54" s="22" t="s">
        <v>83</v>
      </c>
      <c r="F54" s="14" t="n">
        <f aca="false">C54*D54</f>
        <v>4500</v>
      </c>
      <c r="G54" s="16" t="n">
        <f aca="false">IF(GRANDCAR=0,0,J54/GRANDCAR)</f>
        <v>0.0233853284267463</v>
      </c>
      <c r="H54" s="14" t="n">
        <f aca="false">J54/(1-MARGIN)</f>
        <v>10616.6666666667</v>
      </c>
      <c r="I54" s="14" t="n">
        <f aca="false">H54-J54</f>
        <v>4246.66666666667</v>
      </c>
      <c r="J54" s="25" t="n">
        <f aca="false">IF(ISNUMBER(L54),L54,IF(COUNT(O54,Q54,S54,U54)&gt;0,MIN(O54,Q54,S54,U54),F54))</f>
        <v>6370</v>
      </c>
      <c r="K54" s="26" t="str">
        <f aca="false">IF(ISNUMBER(L54),"Override",IF(COUNT(O54,Q54,S54,U54)&gt;0,"Low bid","Internal rate"))</f>
        <v>Low bid</v>
      </c>
      <c r="L54" s="10"/>
      <c r="M54" s="14" t="n">
        <f aca="false">IF(COUNT(O54,Q54,S54,U54)=0,"",MIN(O54,Q54,S54,U54))</f>
        <v>6370</v>
      </c>
      <c r="N54" s="29" t="s">
        <v>182</v>
      </c>
      <c r="O54" s="10" t="n">
        <v>6370</v>
      </c>
      <c r="P54" s="6"/>
      <c r="Q54" s="27"/>
      <c r="R54" s="6"/>
      <c r="S54" s="27"/>
      <c r="T54" s="6"/>
      <c r="U54" s="27"/>
      <c r="V54" s="8" t="s">
        <v>183</v>
      </c>
      <c r="W54" s="14" t="n">
        <f aca="false">IF(M54="",F54,M54)</f>
        <v>6370</v>
      </c>
      <c r="X54" s="14" t="n">
        <f aca="false">J54-F54</f>
        <v>1870</v>
      </c>
    </row>
    <row r="55" customFormat="false" ht="25.5" hidden="false" customHeight="true" outlineLevel="0" collapsed="false">
      <c r="A55" s="22" t="n">
        <v>31</v>
      </c>
      <c r="B55" s="23" t="s">
        <v>184</v>
      </c>
      <c r="C55" s="10" t="n">
        <v>130</v>
      </c>
      <c r="D55" s="24" t="n">
        <v>5</v>
      </c>
      <c r="E55" s="22" t="s">
        <v>109</v>
      </c>
      <c r="F55" s="14" t="n">
        <f aca="false">C55*D55</f>
        <v>650</v>
      </c>
      <c r="G55" s="16" t="n">
        <f aca="false">IF(GRANDCAR=0,0,J55/GRANDCAR)</f>
        <v>0.00238625800272922</v>
      </c>
      <c r="H55" s="14" t="n">
        <f aca="false">J55/(1-MARGIN)</f>
        <v>1083.33333333333</v>
      </c>
      <c r="I55" s="14" t="n">
        <f aca="false">H55-J55</f>
        <v>433.333333333334</v>
      </c>
      <c r="J55" s="25" t="n">
        <f aca="false">IF(ISNUMBER(L55),L55,IF(COUNT(O55,Q55,S55,U55)&gt;0,MIN(O55,Q55,S55,U55),F55))</f>
        <v>650</v>
      </c>
      <c r="K55" s="26" t="str">
        <f aca="false">IF(ISNUMBER(L55),"Override",IF(COUNT(O55,Q55,S55,U55)&gt;0,"Low bid","Internal rate"))</f>
        <v>Internal rate</v>
      </c>
      <c r="L55" s="10"/>
      <c r="M55" s="14" t="str">
        <f aca="false">IF(COUNT(O55,Q55,S55,U55)=0,"",MIN(O55,Q55,S55,U55))</f>
        <v/>
      </c>
      <c r="N55" s="6"/>
      <c r="O55" s="27"/>
      <c r="P55" s="6"/>
      <c r="Q55" s="27"/>
      <c r="R55" s="6"/>
      <c r="S55" s="27"/>
      <c r="T55" s="6"/>
      <c r="U55" s="27"/>
      <c r="V55" s="8" t="s">
        <v>84</v>
      </c>
      <c r="W55" s="14" t="n">
        <f aca="false">IF(M55="",F55,M55)</f>
        <v>650</v>
      </c>
      <c r="X55" s="14" t="n">
        <f aca="false">J55-F55</f>
        <v>0</v>
      </c>
    </row>
    <row r="56" customFormat="false" ht="25.5" hidden="false" customHeight="true" outlineLevel="0" collapsed="false">
      <c r="A56" s="22" t="n">
        <v>32</v>
      </c>
      <c r="B56" s="23" t="s">
        <v>185</v>
      </c>
      <c r="C56" s="10" t="n">
        <v>800</v>
      </c>
      <c r="D56" s="24" t="n">
        <v>1</v>
      </c>
      <c r="E56" s="22" t="s">
        <v>83</v>
      </c>
      <c r="F56" s="14" t="n">
        <f aca="false">C56*D56</f>
        <v>800</v>
      </c>
      <c r="G56" s="16" t="n">
        <f aca="false">IF(GRANDCAR=0,0,J56/GRANDCAR)</f>
        <v>0.00293693292643596</v>
      </c>
      <c r="H56" s="14" t="n">
        <f aca="false">J56/(1-MARGIN)</f>
        <v>1333.33333333333</v>
      </c>
      <c r="I56" s="14" t="n">
        <f aca="false">H56-J56</f>
        <v>533.333333333334</v>
      </c>
      <c r="J56" s="25" t="n">
        <f aca="false">IF(ISNUMBER(L56),L56,IF(COUNT(O56,Q56,S56,U56)&gt;0,MIN(O56,Q56,S56,U56),F56))</f>
        <v>800</v>
      </c>
      <c r="K56" s="26" t="str">
        <f aca="false">IF(ISNUMBER(L56),"Override",IF(COUNT(O56,Q56,S56,U56)&gt;0,"Low bid","Internal rate"))</f>
        <v>Internal rate</v>
      </c>
      <c r="L56" s="10"/>
      <c r="M56" s="14" t="str">
        <f aca="false">IF(COUNT(O56,Q56,S56,U56)=0,"",MIN(O56,Q56,S56,U56))</f>
        <v/>
      </c>
      <c r="N56" s="6"/>
      <c r="O56" s="27"/>
      <c r="P56" s="6"/>
      <c r="Q56" s="27"/>
      <c r="R56" s="6"/>
      <c r="S56" s="27"/>
      <c r="T56" s="6"/>
      <c r="U56" s="27"/>
      <c r="V56" s="8" t="s">
        <v>96</v>
      </c>
      <c r="W56" s="14" t="n">
        <f aca="false">IF(M56="",F56,M56)</f>
        <v>800</v>
      </c>
      <c r="X56" s="14" t="n">
        <f aca="false">J56-F56</f>
        <v>0</v>
      </c>
    </row>
    <row r="57" customFormat="false" ht="15" hidden="false" customHeight="false" outlineLevel="0" collapsed="false">
      <c r="B57" s="12" t="s">
        <v>186</v>
      </c>
      <c r="F57" s="13" t="n">
        <f aca="false">SUM(F50:F56)</f>
        <v>15250</v>
      </c>
      <c r="G57" s="17" t="n">
        <f aca="false">IF(GRANDCAR=0,0,J57/GRANDCAR)</f>
        <v>0.0611983398546093</v>
      </c>
      <c r="H57" s="13" t="n">
        <f aca="false">SUM(H50:H56)</f>
        <v>27783.3333333333</v>
      </c>
      <c r="I57" s="13" t="n">
        <f aca="false">SUM(I50:I56)</f>
        <v>11113.3333333333</v>
      </c>
      <c r="J57" s="13" t="n">
        <f aca="false">SUM(J50:J56)</f>
        <v>16670</v>
      </c>
    </row>
    <row r="59" customFormat="false" ht="15" hidden="false" customHeight="false" outlineLevel="0" collapsed="false">
      <c r="A59" s="20"/>
      <c r="B59" s="21" t="s">
        <v>187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</row>
    <row r="60" customFormat="false" ht="25.5" hidden="false" customHeight="true" outlineLevel="0" collapsed="false">
      <c r="A60" s="22" t="n">
        <v>33</v>
      </c>
      <c r="B60" s="23" t="s">
        <v>188</v>
      </c>
      <c r="C60" s="10" t="n">
        <v>1200</v>
      </c>
      <c r="D60" s="24" t="n">
        <v>1</v>
      </c>
      <c r="E60" s="22" t="s">
        <v>83</v>
      </c>
      <c r="F60" s="14" t="n">
        <f aca="false">C60*D60</f>
        <v>1200</v>
      </c>
      <c r="G60" s="16" t="n">
        <f aca="false">IF(GRANDCAR=0,0,J60/GRANDCAR)</f>
        <v>0.00440539938965394</v>
      </c>
      <c r="H60" s="14" t="n">
        <f aca="false">J60/(1-MARGIN)</f>
        <v>2000</v>
      </c>
      <c r="I60" s="14" t="n">
        <f aca="false">H60-J60</f>
        <v>800</v>
      </c>
      <c r="J60" s="25" t="n">
        <f aca="false">IF(ISNUMBER(L60),L60,IF(COUNT(O60,Q60,S60,U60)&gt;0,MIN(O60,Q60,S60,U60),F60))</f>
        <v>1200</v>
      </c>
      <c r="K60" s="26" t="str">
        <f aca="false">IF(ISNUMBER(L60),"Override",IF(COUNT(O60,Q60,S60,U60)&gt;0,"Low bid","Internal rate"))</f>
        <v>Internal rate</v>
      </c>
      <c r="L60" s="10"/>
      <c r="M60" s="14" t="str">
        <f aca="false">IF(COUNT(O60,Q60,S60,U60)=0,"",MIN(O60,Q60,S60,U60))</f>
        <v/>
      </c>
      <c r="N60" s="6"/>
      <c r="O60" s="27"/>
      <c r="P60" s="6"/>
      <c r="Q60" s="27"/>
      <c r="R60" s="6"/>
      <c r="S60" s="27"/>
      <c r="T60" s="6"/>
      <c r="U60" s="27"/>
      <c r="V60" s="8" t="s">
        <v>96</v>
      </c>
      <c r="W60" s="14" t="n">
        <f aca="false">IF(M60="",F60,M60)</f>
        <v>1200</v>
      </c>
      <c r="X60" s="14" t="n">
        <f aca="false">J60-F60</f>
        <v>0</v>
      </c>
    </row>
    <row r="61" customFormat="false" ht="36" hidden="false" customHeight="true" outlineLevel="0" collapsed="false">
      <c r="A61" s="22" t="n">
        <v>34</v>
      </c>
      <c r="B61" s="23" t="s">
        <v>189</v>
      </c>
      <c r="C61" s="10" t="n">
        <v>3000</v>
      </c>
      <c r="D61" s="24" t="n">
        <v>1</v>
      </c>
      <c r="E61" s="22" t="s">
        <v>83</v>
      </c>
      <c r="F61" s="14" t="n">
        <f aca="false">C61*D61</f>
        <v>3000</v>
      </c>
      <c r="G61" s="16" t="n">
        <f aca="false">IF(GRANDCAR=0,0,J61/GRANDCAR)</f>
        <v>0.0110134984741349</v>
      </c>
      <c r="H61" s="14" t="n">
        <f aca="false">J61/(1-MARGIN)</f>
        <v>5000</v>
      </c>
      <c r="I61" s="14" t="n">
        <f aca="false">H61-J61</f>
        <v>2000</v>
      </c>
      <c r="J61" s="25" t="n">
        <f aca="false">IF(ISNUMBER(L61),L61,IF(COUNT(O61,Q61,S61,U61)&gt;0,MIN(O61,Q61,S61,U61),F61))</f>
        <v>3000</v>
      </c>
      <c r="K61" s="26" t="str">
        <f aca="false">IF(ISNUMBER(L61),"Override",IF(COUNT(O61,Q61,S61,U61)&gt;0,"Low bid","Internal rate"))</f>
        <v>Internal rate</v>
      </c>
      <c r="L61" s="10"/>
      <c r="M61" s="14" t="str">
        <f aca="false">IF(COUNT(O61,Q61,S61,U61)=0,"",MIN(O61,Q61,S61,U61))</f>
        <v/>
      </c>
      <c r="N61" s="6"/>
      <c r="O61" s="27"/>
      <c r="P61" s="6"/>
      <c r="Q61" s="27"/>
      <c r="R61" s="6"/>
      <c r="S61" s="27"/>
      <c r="T61" s="6"/>
      <c r="U61" s="27"/>
      <c r="V61" s="8" t="s">
        <v>190</v>
      </c>
      <c r="W61" s="14" t="n">
        <f aca="false">IF(M61="",F61,M61)</f>
        <v>3000</v>
      </c>
      <c r="X61" s="14" t="n">
        <f aca="false">J61-F61</f>
        <v>0</v>
      </c>
    </row>
    <row r="62" customFormat="false" ht="25.5" hidden="false" customHeight="true" outlineLevel="0" collapsed="false">
      <c r="A62" s="22" t="n">
        <v>35</v>
      </c>
      <c r="B62" s="23" t="s">
        <v>191</v>
      </c>
      <c r="C62" s="10" t="n">
        <v>800</v>
      </c>
      <c r="D62" s="24" t="n">
        <v>1</v>
      </c>
      <c r="E62" s="22" t="s">
        <v>83</v>
      </c>
      <c r="F62" s="14" t="n">
        <f aca="false">C62*D62</f>
        <v>800</v>
      </c>
      <c r="G62" s="16" t="n">
        <f aca="false">IF(GRANDCAR=0,0,J62/GRANDCAR)</f>
        <v>0.00293693292643596</v>
      </c>
      <c r="H62" s="14" t="n">
        <f aca="false">J62/(1-MARGIN)</f>
        <v>1333.33333333333</v>
      </c>
      <c r="I62" s="14" t="n">
        <f aca="false">H62-J62</f>
        <v>533.333333333334</v>
      </c>
      <c r="J62" s="25" t="n">
        <f aca="false">IF(ISNUMBER(L62),L62,IF(COUNT(O62,Q62,S62,U62)&gt;0,MIN(O62,Q62,S62,U62),F62))</f>
        <v>800</v>
      </c>
      <c r="K62" s="26" t="str">
        <f aca="false">IF(ISNUMBER(L62),"Override",IF(COUNT(O62,Q62,S62,U62)&gt;0,"Low bid","Internal rate"))</f>
        <v>Internal rate</v>
      </c>
      <c r="L62" s="10"/>
      <c r="M62" s="14" t="str">
        <f aca="false">IF(COUNT(O62,Q62,S62,U62)=0,"",MIN(O62,Q62,S62,U62))</f>
        <v/>
      </c>
      <c r="N62" s="6"/>
      <c r="O62" s="27"/>
      <c r="P62" s="6"/>
      <c r="Q62" s="27"/>
      <c r="R62" s="6"/>
      <c r="S62" s="27"/>
      <c r="T62" s="6"/>
      <c r="U62" s="27"/>
      <c r="V62" s="8" t="s">
        <v>96</v>
      </c>
      <c r="W62" s="14" t="n">
        <f aca="false">IF(M62="",F62,M62)</f>
        <v>800</v>
      </c>
      <c r="X62" s="14" t="n">
        <f aca="false">J62-F62</f>
        <v>0</v>
      </c>
    </row>
    <row r="63" customFormat="false" ht="25.5" hidden="false" customHeight="true" outlineLevel="0" collapsed="false">
      <c r="A63" s="22" t="n">
        <v>36</v>
      </c>
      <c r="B63" s="23" t="s">
        <v>192</v>
      </c>
      <c r="C63" s="10" t="n">
        <v>1500</v>
      </c>
      <c r="D63" s="24" t="n">
        <v>1</v>
      </c>
      <c r="E63" s="22" t="s">
        <v>83</v>
      </c>
      <c r="F63" s="14" t="n">
        <f aca="false">C63*D63</f>
        <v>1500</v>
      </c>
      <c r="G63" s="16" t="n">
        <f aca="false">IF(GRANDCAR=0,0,J63/GRANDCAR)</f>
        <v>0.00550674923706743</v>
      </c>
      <c r="H63" s="14" t="n">
        <f aca="false">J63/(1-MARGIN)</f>
        <v>2500</v>
      </c>
      <c r="I63" s="14" t="n">
        <f aca="false">H63-J63</f>
        <v>1000</v>
      </c>
      <c r="J63" s="25" t="n">
        <f aca="false">IF(ISNUMBER(L63),L63,IF(COUNT(O63,Q63,S63,U63)&gt;0,MIN(O63,Q63,S63,U63),F63))</f>
        <v>1500</v>
      </c>
      <c r="K63" s="26" t="str">
        <f aca="false">IF(ISNUMBER(L63),"Override",IF(COUNT(O63,Q63,S63,U63)&gt;0,"Low bid","Internal rate"))</f>
        <v>Internal rate</v>
      </c>
      <c r="L63" s="10"/>
      <c r="M63" s="14" t="str">
        <f aca="false">IF(COUNT(O63,Q63,S63,U63)=0,"",MIN(O63,Q63,S63,U63))</f>
        <v/>
      </c>
      <c r="N63" s="6"/>
      <c r="O63" s="27"/>
      <c r="P63" s="6"/>
      <c r="Q63" s="27"/>
      <c r="R63" s="6"/>
      <c r="S63" s="27"/>
      <c r="T63" s="6"/>
      <c r="U63" s="27"/>
      <c r="V63" s="8" t="s">
        <v>96</v>
      </c>
      <c r="W63" s="14" t="n">
        <f aca="false">IF(M63="",F63,M63)</f>
        <v>1500</v>
      </c>
      <c r="X63" s="14" t="n">
        <f aca="false">J63-F63</f>
        <v>0</v>
      </c>
    </row>
    <row r="64" customFormat="false" ht="25.5" hidden="false" customHeight="true" outlineLevel="0" collapsed="false">
      <c r="A64" s="22" t="n">
        <v>37</v>
      </c>
      <c r="B64" s="23" t="s">
        <v>193</v>
      </c>
      <c r="C64" s="10" t="n">
        <v>1000</v>
      </c>
      <c r="D64" s="24" t="n">
        <v>1</v>
      </c>
      <c r="E64" s="22" t="s">
        <v>83</v>
      </c>
      <c r="F64" s="14" t="n">
        <f aca="false">C64*D64</f>
        <v>1000</v>
      </c>
      <c r="G64" s="16" t="n">
        <f aca="false">IF(GRANDCAR=0,0,J64/GRANDCAR)</f>
        <v>0.00367116615804495</v>
      </c>
      <c r="H64" s="14" t="n">
        <f aca="false">J64/(1-MARGIN)</f>
        <v>1666.66666666667</v>
      </c>
      <c r="I64" s="14" t="n">
        <f aca="false">H64-J64</f>
        <v>666.666666666667</v>
      </c>
      <c r="J64" s="25" t="n">
        <f aca="false">IF(ISNUMBER(L64),L64,IF(COUNT(O64,Q64,S64,U64)&gt;0,MIN(O64,Q64,S64,U64),F64))</f>
        <v>1000</v>
      </c>
      <c r="K64" s="26" t="str">
        <f aca="false">IF(ISNUMBER(L64),"Override",IF(COUNT(O64,Q64,S64,U64)&gt;0,"Low bid","Internal rate"))</f>
        <v>Internal rate</v>
      </c>
      <c r="L64" s="10"/>
      <c r="M64" s="14" t="str">
        <f aca="false">IF(COUNT(O64,Q64,S64,U64)=0,"",MIN(O64,Q64,S64,U64))</f>
        <v/>
      </c>
      <c r="N64" s="6"/>
      <c r="O64" s="27"/>
      <c r="P64" s="6"/>
      <c r="Q64" s="27"/>
      <c r="R64" s="6"/>
      <c r="S64" s="27"/>
      <c r="T64" s="6"/>
      <c r="U64" s="27"/>
      <c r="V64" s="8" t="s">
        <v>96</v>
      </c>
      <c r="W64" s="14" t="n">
        <f aca="false">IF(M64="",F64,M64)</f>
        <v>1000</v>
      </c>
      <c r="X64" s="14" t="n">
        <f aca="false">J64-F64</f>
        <v>0</v>
      </c>
    </row>
    <row r="65" customFormat="false" ht="25.5" hidden="false" customHeight="true" outlineLevel="0" collapsed="false">
      <c r="A65" s="22" t="n">
        <v>38</v>
      </c>
      <c r="B65" s="23" t="s">
        <v>194</v>
      </c>
      <c r="C65" s="10" t="n">
        <v>700</v>
      </c>
      <c r="D65" s="24" t="n">
        <v>1</v>
      </c>
      <c r="E65" s="22" t="s">
        <v>83</v>
      </c>
      <c r="F65" s="14" t="n">
        <f aca="false">C65*D65</f>
        <v>700</v>
      </c>
      <c r="G65" s="16" t="n">
        <f aca="false">IF(GRANDCAR=0,0,J65/GRANDCAR)</f>
        <v>0.00256981631063147</v>
      </c>
      <c r="H65" s="14" t="n">
        <f aca="false">J65/(1-MARGIN)</f>
        <v>1166.66666666667</v>
      </c>
      <c r="I65" s="14" t="n">
        <f aca="false">H65-J65</f>
        <v>466.666666666667</v>
      </c>
      <c r="J65" s="25" t="n">
        <f aca="false">IF(ISNUMBER(L65),L65,IF(COUNT(O65,Q65,S65,U65)&gt;0,MIN(O65,Q65,S65,U65),F65))</f>
        <v>700</v>
      </c>
      <c r="K65" s="26" t="str">
        <f aca="false">IF(ISNUMBER(L65),"Override",IF(COUNT(O65,Q65,S65,U65)&gt;0,"Low bid","Internal rate"))</f>
        <v>Internal rate</v>
      </c>
      <c r="L65" s="10"/>
      <c r="M65" s="14" t="str">
        <f aca="false">IF(COUNT(O65,Q65,S65,U65)=0,"",MIN(O65,Q65,S65,U65))</f>
        <v/>
      </c>
      <c r="N65" s="6"/>
      <c r="O65" s="27"/>
      <c r="P65" s="6"/>
      <c r="Q65" s="27"/>
      <c r="R65" s="6"/>
      <c r="S65" s="27"/>
      <c r="T65" s="6"/>
      <c r="U65" s="27"/>
      <c r="V65" s="8" t="s">
        <v>96</v>
      </c>
      <c r="W65" s="14" t="n">
        <f aca="false">IF(M65="",F65,M65)</f>
        <v>700</v>
      </c>
      <c r="X65" s="14" t="n">
        <f aca="false">J65-F65</f>
        <v>0</v>
      </c>
    </row>
    <row r="66" customFormat="false" ht="15" hidden="false" customHeight="false" outlineLevel="0" collapsed="false">
      <c r="B66" s="12" t="s">
        <v>195</v>
      </c>
      <c r="F66" s="13" t="n">
        <f aca="false">SUM(F60:F65)</f>
        <v>8200</v>
      </c>
      <c r="G66" s="17" t="n">
        <f aca="false">IF(GRANDCAR=0,0,J66/GRANDCAR)</f>
        <v>0.0301035624959686</v>
      </c>
      <c r="H66" s="13" t="n">
        <f aca="false">SUM(H60:H65)</f>
        <v>13666.6666666667</v>
      </c>
      <c r="I66" s="13" t="n">
        <f aca="false">SUM(I60:I65)</f>
        <v>5466.66666666667</v>
      </c>
      <c r="J66" s="13" t="n">
        <f aca="false">SUM(J60:J65)</f>
        <v>8200</v>
      </c>
    </row>
    <row r="68" customFormat="false" ht="15" hidden="false" customHeight="false" outlineLevel="0" collapsed="false">
      <c r="B68" s="31" t="s">
        <v>196</v>
      </c>
      <c r="F68" s="32" t="n">
        <f aca="false">F18+F24+F29+F36+F43+F47+F57+F66</f>
        <v>289498.9</v>
      </c>
      <c r="G68" s="33" t="n">
        <f aca="false">1</f>
        <v>1</v>
      </c>
      <c r="H68" s="32" t="n">
        <f aca="false">H18+H24+H29+H36+H43+H47+H57+H66</f>
        <v>453988.35</v>
      </c>
      <c r="I68" s="32" t="n">
        <f aca="false">I18+I24+I29+I36+I43+I47+I57+I66</f>
        <v>181595.34</v>
      </c>
      <c r="J68" s="32" t="n">
        <f aca="false">J18+J24+J29+J36+J43+J47+J57+J66</f>
        <v>272393.01</v>
      </c>
      <c r="W68" s="32" t="n">
        <f aca="false">SUM(W7,W8,W9,W10,W11,W12,W13,W14,W15,W16,W17,W21,W22,W23,W27,W28,W32,W33,W34,W35,W39,W40,W41,W42,W46,W50,W51,W52,W53,W54,W55,W56,W60,W61,W62,W63,W64,W65)</f>
        <v>263612.35</v>
      </c>
    </row>
  </sheetData>
  <mergeCells count="1">
    <mergeCell ref="A3:V3"/>
  </mergeCells>
  <conditionalFormatting sqref="X6:X68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16.15" hidden="false" customHeight="false" outlineLevel="0" collapsed="false">
      <c r="A1" s="34" t="s">
        <v>197</v>
      </c>
    </row>
    <row r="2" customFormat="false" ht="15" hidden="false" customHeight="false" outlineLevel="0" collapsed="false">
      <c r="A2" s="2" t="s">
        <v>198</v>
      </c>
    </row>
    <row r="4" customFormat="false" ht="15" hidden="false" customHeight="false" outlineLevel="0" collapsed="false">
      <c r="A4" s="35" t="s">
        <v>57</v>
      </c>
      <c r="B4" s="35" t="s">
        <v>199</v>
      </c>
      <c r="C4" s="35" t="s">
        <v>200</v>
      </c>
      <c r="D4" s="35" t="s">
        <v>201</v>
      </c>
      <c r="E4" s="35" t="s">
        <v>202</v>
      </c>
      <c r="F4" s="35" t="s">
        <v>203</v>
      </c>
      <c r="G4" s="35" t="s">
        <v>204</v>
      </c>
    </row>
    <row r="5" customFormat="false" ht="25.5" hidden="false" customHeight="true" outlineLevel="0" collapsed="false">
      <c r="A5" s="22" t="n">
        <v>1</v>
      </c>
      <c r="B5" s="23" t="s">
        <v>205</v>
      </c>
      <c r="C5" s="30" t="n">
        <v>8</v>
      </c>
      <c r="D5" s="24" t="n">
        <v>1100</v>
      </c>
      <c r="E5" s="22" t="s">
        <v>115</v>
      </c>
      <c r="F5" s="14" t="n">
        <f aca="false">C5*D5</f>
        <v>8800</v>
      </c>
      <c r="G5" s="8" t="s">
        <v>206</v>
      </c>
    </row>
    <row r="6" customFormat="false" ht="25.5" hidden="false" customHeight="true" outlineLevel="0" collapsed="false">
      <c r="A6" s="22" t="n">
        <v>2</v>
      </c>
      <c r="B6" s="23" t="s">
        <v>207</v>
      </c>
      <c r="C6" s="10" t="n">
        <v>1500</v>
      </c>
      <c r="D6" s="24" t="n">
        <v>1</v>
      </c>
      <c r="E6" s="22" t="s">
        <v>83</v>
      </c>
      <c r="F6" s="14" t="n">
        <f aca="false">C6*D6</f>
        <v>1500</v>
      </c>
      <c r="G6" s="8" t="s">
        <v>208</v>
      </c>
    </row>
    <row r="7" customFormat="false" ht="25.5" hidden="false" customHeight="true" outlineLevel="0" collapsed="false">
      <c r="A7" s="22" t="n">
        <v>3</v>
      </c>
      <c r="B7" s="23" t="s">
        <v>209</v>
      </c>
      <c r="C7" s="10" t="n">
        <v>6000</v>
      </c>
      <c r="D7" s="24" t="n">
        <v>1</v>
      </c>
      <c r="E7" s="22" t="s">
        <v>83</v>
      </c>
      <c r="F7" s="14" t="n">
        <f aca="false">C7*D7</f>
        <v>6000</v>
      </c>
      <c r="G7" s="8" t="s">
        <v>84</v>
      </c>
    </row>
    <row r="8" customFormat="false" ht="25.5" hidden="false" customHeight="true" outlineLevel="0" collapsed="false">
      <c r="A8" s="22" t="n">
        <v>4</v>
      </c>
      <c r="B8" s="23" t="s">
        <v>210</v>
      </c>
      <c r="C8" s="10" t="n">
        <v>7500</v>
      </c>
      <c r="D8" s="24" t="n">
        <v>1</v>
      </c>
      <c r="E8" s="22" t="s">
        <v>83</v>
      </c>
      <c r="F8" s="14" t="n">
        <f aca="false">C8*D8</f>
        <v>7500</v>
      </c>
      <c r="G8" s="8" t="s">
        <v>211</v>
      </c>
    </row>
    <row r="9" customFormat="false" ht="25.5" hidden="false" customHeight="true" outlineLevel="0" collapsed="false">
      <c r="A9" s="22" t="n">
        <v>5</v>
      </c>
      <c r="B9" s="23" t="s">
        <v>212</v>
      </c>
      <c r="C9" s="30" t="n">
        <v>6.5</v>
      </c>
      <c r="D9" s="24" t="n">
        <v>900</v>
      </c>
      <c r="E9" s="22" t="s">
        <v>115</v>
      </c>
      <c r="F9" s="14" t="n">
        <f aca="false">C9*D9</f>
        <v>5850</v>
      </c>
      <c r="G9" s="8" t="s">
        <v>213</v>
      </c>
    </row>
    <row r="10" customFormat="false" ht="25.5" hidden="false" customHeight="true" outlineLevel="0" collapsed="false">
      <c r="A10" s="22" t="n">
        <v>6</v>
      </c>
      <c r="B10" s="23" t="s">
        <v>214</v>
      </c>
      <c r="C10" s="30" t="n">
        <v>14</v>
      </c>
      <c r="D10" s="24" t="n">
        <v>700</v>
      </c>
      <c r="E10" s="22" t="s">
        <v>115</v>
      </c>
      <c r="F10" s="14" t="n">
        <f aca="false">C10*D10</f>
        <v>9800</v>
      </c>
      <c r="G10" s="8" t="s">
        <v>215</v>
      </c>
    </row>
    <row r="11" customFormat="false" ht="25.5" hidden="false" customHeight="true" outlineLevel="0" collapsed="false">
      <c r="A11" s="22" t="n">
        <v>7</v>
      </c>
      <c r="B11" s="23" t="s">
        <v>216</v>
      </c>
      <c r="C11" s="30" t="n">
        <v>1.5</v>
      </c>
      <c r="D11" s="24" t="n">
        <v>700</v>
      </c>
      <c r="E11" s="22" t="s">
        <v>115</v>
      </c>
      <c r="F11" s="14" t="n">
        <f aca="false">C11*D11</f>
        <v>1050</v>
      </c>
      <c r="G11" s="8" t="s">
        <v>217</v>
      </c>
    </row>
    <row r="12" customFormat="false" ht="25.5" hidden="false" customHeight="true" outlineLevel="0" collapsed="false">
      <c r="A12" s="22" t="n">
        <v>8</v>
      </c>
      <c r="B12" s="23" t="s">
        <v>218</v>
      </c>
      <c r="C12" s="30" t="n">
        <v>3.5</v>
      </c>
      <c r="D12" s="24" t="n">
        <v>500</v>
      </c>
      <c r="E12" s="22" t="s">
        <v>219</v>
      </c>
      <c r="F12" s="14" t="n">
        <f aca="false">C12*D12</f>
        <v>1750</v>
      </c>
      <c r="G12" s="8" t="s">
        <v>220</v>
      </c>
    </row>
    <row r="13" customFormat="false" ht="25.5" hidden="false" customHeight="true" outlineLevel="0" collapsed="false">
      <c r="A13" s="22" t="n">
        <v>9</v>
      </c>
      <c r="B13" s="23" t="s">
        <v>221</v>
      </c>
      <c r="C13" s="30" t="n">
        <v>85</v>
      </c>
      <c r="D13" s="24" t="n">
        <v>40</v>
      </c>
      <c r="E13" s="22" t="s">
        <v>222</v>
      </c>
      <c r="F13" s="14" t="n">
        <f aca="false">C13*D13</f>
        <v>3400</v>
      </c>
      <c r="G13" s="8" t="s">
        <v>223</v>
      </c>
    </row>
    <row r="14" customFormat="false" ht="25.5" hidden="false" customHeight="true" outlineLevel="0" collapsed="false">
      <c r="A14" s="22" t="n">
        <v>10</v>
      </c>
      <c r="B14" s="23" t="s">
        <v>224</v>
      </c>
      <c r="C14" s="10" t="n">
        <v>2000</v>
      </c>
      <c r="D14" s="24" t="n">
        <v>1</v>
      </c>
      <c r="E14" s="22" t="s">
        <v>83</v>
      </c>
      <c r="F14" s="14" t="n">
        <f aca="false">C14*D14</f>
        <v>2000</v>
      </c>
      <c r="G14" s="8" t="s">
        <v>96</v>
      </c>
    </row>
    <row r="15" customFormat="false" ht="25.5" hidden="false" customHeight="true" outlineLevel="0" collapsed="false">
      <c r="A15" s="22" t="n">
        <v>11</v>
      </c>
      <c r="B15" s="23" t="s">
        <v>225</v>
      </c>
      <c r="C15" s="30" t="n">
        <v>16.67</v>
      </c>
      <c r="D15" s="24" t="n">
        <v>270</v>
      </c>
      <c r="E15" s="22" t="s">
        <v>115</v>
      </c>
      <c r="F15" s="14" t="n">
        <f aca="false">C15*D15</f>
        <v>4500.9</v>
      </c>
      <c r="G15" s="8" t="s">
        <v>226</v>
      </c>
    </row>
    <row r="16" customFormat="false" ht="25.5" hidden="false" customHeight="true" outlineLevel="0" collapsed="false">
      <c r="A16" s="22" t="n">
        <v>12</v>
      </c>
      <c r="B16" s="23" t="s">
        <v>227</v>
      </c>
      <c r="C16" s="10" t="n">
        <v>800</v>
      </c>
      <c r="D16" s="24" t="n">
        <v>1</v>
      </c>
      <c r="E16" s="22" t="s">
        <v>83</v>
      </c>
      <c r="F16" s="14" t="n">
        <f aca="false">C16*D16</f>
        <v>800</v>
      </c>
      <c r="G16" s="8" t="s">
        <v>96</v>
      </c>
    </row>
    <row r="17" customFormat="false" ht="25.5" hidden="false" customHeight="true" outlineLevel="0" collapsed="false">
      <c r="A17" s="22" t="n">
        <v>13</v>
      </c>
      <c r="B17" s="23" t="s">
        <v>228</v>
      </c>
      <c r="C17" s="10" t="n">
        <v>600</v>
      </c>
      <c r="D17" s="24" t="n">
        <v>1</v>
      </c>
      <c r="E17" s="22" t="s">
        <v>83</v>
      </c>
      <c r="F17" s="14" t="n">
        <f aca="false">C17*D17</f>
        <v>600</v>
      </c>
      <c r="G17" s="8" t="s">
        <v>229</v>
      </c>
    </row>
    <row r="18" customFormat="false" ht="15" hidden="false" customHeight="false" outlineLevel="0" collapsed="false">
      <c r="B18" s="12" t="s">
        <v>230</v>
      </c>
      <c r="F18" s="13" t="n">
        <f aca="false">SUM(F5:F17)</f>
        <v>53550.9</v>
      </c>
    </row>
    <row r="20" customFormat="false" ht="15" hidden="false" customHeight="false" outlineLevel="0" collapsed="false">
      <c r="B20" s="6" t="s">
        <v>231</v>
      </c>
      <c r="F20" s="10" t="n">
        <v>78000</v>
      </c>
    </row>
    <row r="21" customFormat="false" ht="15" hidden="false" customHeight="false" outlineLevel="0" collapsed="false">
      <c r="B21" s="6" t="s">
        <v>232</v>
      </c>
      <c r="F21" s="10" t="n">
        <v>109500</v>
      </c>
    </row>
    <row r="22" customFormat="false" ht="15" hidden="false" customHeight="false" outlineLevel="0" collapsed="false">
      <c r="B22" s="6" t="s">
        <v>233</v>
      </c>
      <c r="F22" s="11" t="n">
        <f aca="false">'Bid Leveling'!L46</f>
        <v>37500</v>
      </c>
    </row>
    <row r="23" customFormat="false" ht="15" hidden="false" customHeight="false" outlineLevel="0" collapsed="false">
      <c r="B23" s="6" t="s">
        <v>234</v>
      </c>
      <c r="F23" s="25" t="n">
        <f aca="false">F22-F18</f>
        <v>-16050.9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34" t="s">
        <v>235</v>
      </c>
    </row>
    <row r="3" customFormat="false" ht="15" hidden="false" customHeight="false" outlineLevel="0" collapsed="false">
      <c r="A3" s="36" t="s">
        <v>57</v>
      </c>
      <c r="B3" s="36" t="s">
        <v>236</v>
      </c>
      <c r="C3" s="36" t="s">
        <v>237</v>
      </c>
      <c r="D3" s="36" t="s">
        <v>238</v>
      </c>
      <c r="E3" s="36" t="s">
        <v>20</v>
      </c>
    </row>
    <row r="4" customFormat="false" ht="15" hidden="false" customHeight="false" outlineLevel="0" collapsed="false">
      <c r="A4" s="22" t="n">
        <v>1</v>
      </c>
      <c r="B4" s="23" t="s">
        <v>239</v>
      </c>
      <c r="C4" s="23" t="s">
        <v>240</v>
      </c>
      <c r="D4" s="27" t="n">
        <v>15550</v>
      </c>
      <c r="E4" s="8" t="s">
        <v>241</v>
      </c>
    </row>
    <row r="5" customFormat="false" ht="15" hidden="false" customHeight="false" outlineLevel="0" collapsed="false">
      <c r="A5" s="22" t="n">
        <v>2</v>
      </c>
      <c r="B5" s="23" t="s">
        <v>242</v>
      </c>
      <c r="C5" s="23" t="s">
        <v>243</v>
      </c>
      <c r="D5" s="27" t="n">
        <v>850</v>
      </c>
      <c r="E5" s="8" t="s">
        <v>244</v>
      </c>
    </row>
    <row r="6" customFormat="false" ht="23.85" hidden="false" customHeight="false" outlineLevel="0" collapsed="false">
      <c r="A6" s="22" t="n">
        <v>3</v>
      </c>
      <c r="B6" s="23" t="s">
        <v>245</v>
      </c>
      <c r="C6" s="23" t="s">
        <v>246</v>
      </c>
      <c r="D6" s="27"/>
      <c r="E6" s="8" t="s">
        <v>247</v>
      </c>
    </row>
    <row r="7" customFormat="false" ht="15" hidden="false" customHeight="false" outlineLevel="0" collapsed="false">
      <c r="A7" s="22" t="n">
        <v>4</v>
      </c>
      <c r="B7" s="23" t="s">
        <v>248</v>
      </c>
      <c r="C7" s="23" t="s">
        <v>182</v>
      </c>
      <c r="D7" s="27" t="n">
        <v>750</v>
      </c>
      <c r="E7" s="8" t="s">
        <v>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34" t="s">
        <v>250</v>
      </c>
    </row>
    <row r="3" customFormat="false" ht="15" hidden="false" customHeight="false" outlineLevel="0" collapsed="false">
      <c r="A3" s="36" t="s">
        <v>57</v>
      </c>
      <c r="B3" s="36" t="s">
        <v>251</v>
      </c>
      <c r="C3" s="36" t="s">
        <v>252</v>
      </c>
    </row>
    <row r="4" customFormat="false" ht="30" hidden="false" customHeight="true" outlineLevel="0" collapsed="false">
      <c r="A4" s="22" t="n">
        <v>1</v>
      </c>
      <c r="B4" s="37" t="s">
        <v>253</v>
      </c>
      <c r="C4" s="23" t="s">
        <v>254</v>
      </c>
    </row>
    <row r="5" customFormat="false" ht="30" hidden="false" customHeight="true" outlineLevel="0" collapsed="false">
      <c r="A5" s="22" t="n">
        <v>2</v>
      </c>
      <c r="B5" s="37" t="s">
        <v>255</v>
      </c>
      <c r="C5" s="23" t="s">
        <v>256</v>
      </c>
    </row>
    <row r="6" customFormat="false" ht="30" hidden="false" customHeight="true" outlineLevel="0" collapsed="false">
      <c r="A6" s="22" t="n">
        <v>3</v>
      </c>
      <c r="B6" s="37" t="s">
        <v>257</v>
      </c>
      <c r="C6" s="23" t="s">
        <v>258</v>
      </c>
    </row>
    <row r="7" customFormat="false" ht="30" hidden="false" customHeight="true" outlineLevel="0" collapsed="false">
      <c r="A7" s="22" t="n">
        <v>4</v>
      </c>
      <c r="B7" s="37" t="s">
        <v>259</v>
      </c>
      <c r="C7" s="23" t="s">
        <v>260</v>
      </c>
    </row>
    <row r="8" customFormat="false" ht="30" hidden="false" customHeight="true" outlineLevel="0" collapsed="false">
      <c r="A8" s="22" t="n">
        <v>5</v>
      </c>
      <c r="B8" s="37" t="s">
        <v>261</v>
      </c>
      <c r="C8" s="23" t="s">
        <v>262</v>
      </c>
    </row>
    <row r="9" customFormat="false" ht="30" hidden="false" customHeight="true" outlineLevel="0" collapsed="false">
      <c r="A9" s="22" t="n">
        <v>6</v>
      </c>
      <c r="B9" s="37" t="s">
        <v>263</v>
      </c>
      <c r="C9" s="23" t="s">
        <v>264</v>
      </c>
    </row>
    <row r="10" customFormat="false" ht="30" hidden="false" customHeight="true" outlineLevel="0" collapsed="false">
      <c r="A10" s="22" t="n">
        <v>7</v>
      </c>
      <c r="B10" s="37" t="s">
        <v>265</v>
      </c>
      <c r="C10" s="23" t="s">
        <v>266</v>
      </c>
    </row>
    <row r="11" customFormat="false" ht="30" hidden="false" customHeight="true" outlineLevel="0" collapsed="false">
      <c r="A11" s="22" t="n">
        <v>8</v>
      </c>
      <c r="B11" s="37" t="s">
        <v>267</v>
      </c>
      <c r="C11" s="23" t="s">
        <v>268</v>
      </c>
    </row>
    <row r="12" customFormat="false" ht="30" hidden="false" customHeight="true" outlineLevel="0" collapsed="false">
      <c r="A12" s="22" t="n">
        <v>9</v>
      </c>
      <c r="B12" s="37" t="s">
        <v>269</v>
      </c>
      <c r="C12" s="23" t="s">
        <v>270</v>
      </c>
    </row>
    <row r="13" customFormat="false" ht="30" hidden="false" customHeight="true" outlineLevel="0" collapsed="false">
      <c r="A13" s="22" t="n">
        <v>10</v>
      </c>
      <c r="B13" s="37" t="s">
        <v>271</v>
      </c>
      <c r="C13" s="23" t="s">
        <v>272</v>
      </c>
    </row>
    <row r="14" customFormat="false" ht="30" hidden="false" customHeight="true" outlineLevel="0" collapsed="false">
      <c r="A14" s="22" t="n">
        <v>11</v>
      </c>
      <c r="B14" s="37" t="s">
        <v>273</v>
      </c>
      <c r="C14" s="23" t="s">
        <v>274</v>
      </c>
    </row>
    <row r="15" customFormat="false" ht="30" hidden="false" customHeight="true" outlineLevel="0" collapsed="false">
      <c r="A15" s="22" t="n">
        <v>12</v>
      </c>
      <c r="B15" s="37" t="s">
        <v>275</v>
      </c>
      <c r="C15" s="23" t="s">
        <v>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2026-10-21T19:03:07Z</dcterms:created>
  <dc:creator>openpyxl</dc:creator>
  <dc:description/>
  <dc:language>en-US</dc:language>
  <cp:lastModifiedBy/>
  <dcterms:modified xsi:type="dcterms:W3CDTF">2026-10-21T19:03:07Z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